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hanhVu\kpht\KPHT_PMM\hop\"/>
    </mc:Choice>
  </mc:AlternateContent>
  <xr:revisionPtr revIDLastSave="0" documentId="13_ncr:1_{842429B4-C352-4412-BAAE-08D023A9C061}" xr6:coauthVersionLast="47" xr6:coauthVersionMax="47" xr10:uidLastSave="{00000000-0000-0000-0000-000000000000}"/>
  <bookViews>
    <workbookView xWindow="2160" yWindow="1485" windowWidth="17580" windowHeight="139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4" i="1" l="1"/>
  <c r="H30" i="1"/>
  <c r="I30" i="1" s="1"/>
  <c r="H29" i="1"/>
  <c r="I29" i="1" s="1"/>
  <c r="G23" i="1"/>
  <c r="D21" i="1"/>
  <c r="G24" i="1"/>
</calcChain>
</file>

<file path=xl/sharedStrings.xml><?xml version="1.0" encoding="utf-8"?>
<sst xmlns="http://schemas.openxmlformats.org/spreadsheetml/2006/main" count="49" uniqueCount="44">
  <si>
    <r>
      <t>Nhập hàng và tính giá vốn</t>
    </r>
    <r>
      <rPr>
        <sz val="11"/>
        <color theme="1"/>
        <rFont val="Arial"/>
        <family val="2"/>
      </rPr>
      <t xml:space="preserve"> trong ngành kinh doanh trang sức/kim hoàn. Tôi xin tóm tắt lại logic nghiệp vụ này để bạn có thể chuyển đổi thành các Model trong Django:</t>
    </r>
  </si>
  <si>
    <t>Tóm tắt nghiệp vụ (Luồng tính giá vốn)</t>
  </si>
  <si>
    <r>
      <t xml:space="preserve">Quy trình xoay quanh việc tính toán 4 chỉ số cốt lõi: </t>
    </r>
    <r>
      <rPr>
        <b/>
        <sz val="11"/>
        <color theme="1"/>
        <rFont val="Arial"/>
        <family val="2"/>
      </rPr>
      <t>Công gốc, Công vốn, Công bán, và Giá vốn</t>
    </r>
    <r>
      <rPr>
        <sz val="11"/>
        <color theme="1"/>
        <rFont val="Arial"/>
        <family val="2"/>
      </rPr>
      <t xml:space="preserve"> dựa trên các nguồn nhập hàng khác nhau.</t>
    </r>
  </si>
  <si>
    <t>Mối quan hệ</t>
  </si>
  <si>
    <t>Bảng Tổng Hợp Quy Trình Quản Lý Hàng Hóa &amp; Nhập Hàng</t>
  </si>
  <si>
    <t>Công gốc</t>
  </si>
  <si>
    <t>Công vốn</t>
  </si>
  <si>
    <t>Công bán</t>
  </si>
  <si>
    <t>Đơn giá vốn</t>
  </si>
  <si>
    <t>Giá vốn (Tổng)</t>
  </si>
  <si>
    <t>Toa hàng (1-n) Lô hàng</t>
  </si>
  <si>
    <t>Lấy theo LV của lô hàng</t>
  </si>
  <si>
    <t>Tân trang (THGN)</t>
  </si>
  <si>
    <t>Phiếu nhận (1-1) Lô hàng tân trang</t>
  </si>
  <si>
    <t>Lấy theo lô hàng</t>
  </si>
  <si>
    <t>Lấy theo LV lô hàng</t>
  </si>
  <si>
    <t>Giao thợ (PGTTNT)</t>
  </si>
  <si>
    <t>PGTTNT (1-n) PNTNT</t>
  </si>
  <si>
    <t>Giải thích các thuật ngữ &amp; Công thức bổ trợ</t>
  </si>
  <si>
    <r>
      <t>TLV:</t>
    </r>
    <r>
      <rPr>
        <sz val="11"/>
        <color theme="1"/>
        <rFont val="Calibri"/>
        <family val="2"/>
        <scheme val="minor"/>
      </rPr>
      <t xml:space="preserve"> Trọng lượng vàng (ví dụ: chỉ, phân, ly).</t>
    </r>
  </si>
  <si>
    <r>
      <t>LV:</t>
    </r>
    <r>
      <rPr>
        <sz val="11"/>
        <color theme="1"/>
        <rFont val="Calibri"/>
        <family val="2"/>
        <scheme val="minor"/>
      </rPr>
      <t xml:space="preserve"> Loại vàng.</t>
    </r>
  </si>
  <si>
    <r>
      <t>GD:</t>
    </r>
    <r>
      <rPr>
        <sz val="11"/>
        <color theme="1"/>
        <rFont val="Calibri"/>
        <family val="2"/>
        <scheme val="minor"/>
      </rPr>
      <t xml:space="preserve"> Gia công.</t>
    </r>
  </si>
  <si>
    <r>
      <t>NCC:</t>
    </r>
    <r>
      <rPr>
        <sz val="11"/>
        <color theme="1"/>
        <rFont val="Calibri"/>
        <family val="2"/>
        <scheme val="minor"/>
      </rPr>
      <t xml:space="preserve"> Nhà cung cấp.</t>
    </r>
  </si>
  <si>
    <r>
      <t>CV / CB:</t>
    </r>
    <r>
      <rPr>
        <sz val="11"/>
        <color theme="1"/>
        <rFont val="Calibri"/>
        <family val="2"/>
        <scheme val="minor"/>
      </rPr>
      <t xml:space="preserve"> Công vốn / Công bán.</t>
    </r>
  </si>
  <si>
    <r>
      <t>Tiền hột:</t>
    </r>
    <r>
      <rPr>
        <sz val="11"/>
        <color theme="1"/>
        <rFont val="Calibri"/>
        <family val="2"/>
        <scheme val="minor"/>
      </rPr>
      <t xml:space="preserve"> Giá trị của đá quý/hột gắn trên sản phẩm.</t>
    </r>
  </si>
  <si>
    <t>Nhập hàng món</t>
  </si>
  <si>
    <t>Quy trình</t>
  </si>
  <si>
    <t>Nhập hàng (Thông thường)</t>
  </si>
  <si>
    <t>Nhập tay theo SP</t>
  </si>
  <si>
    <t>CT: Tính theo LV/GD/NCC</t>
  </si>
  <si>
    <t>(TLV * Đơn giá) + Công vốn + Tiền hột</t>
  </si>
  <si>
    <t>Toa hàng (1-n) Lô hàng món</t>
  </si>
  <si>
    <t>SL * Đơn giá vốn</t>
  </si>
  <si>
    <t>Người dùng nhập</t>
  </si>
  <si>
    <t>Lấy theo LV của Phiếu nhận</t>
  </si>
  <si>
    <t>Trong NCC có công thức:</t>
  </si>
  <si>
    <t>Công vốn = Công gốc + (TLV * Tỷ lệ hao hụt (%) * Tỷ giá vàng (trong Lô hàng)) + Tiền thuế NCC lấy (nếu có trong Lô hàng) + Chi phí khác (nếu có trong Lô hàng).</t>
  </si>
  <si>
    <t>Công bán = Công vốn + Lợi nhuận mong muốn</t>
  </si>
  <si>
    <t>Tỷ lệ hao hụt (%)= [1-(Tuổi thu/Tuổi bán)]*100</t>
  </si>
  <si>
    <t>Tỷ lệ tính khách (%)= Tuỳ nhập</t>
  </si>
  <si>
    <t>Ví dụ tuô</t>
  </si>
  <si>
    <t>Ví đụ tuổi thu 61 tuổi bán 63 =&gt; {1-(61/63)}*100%= 3.175%</t>
  </si>
  <si>
    <t xml:space="preserve">OriginLabor +( GoldWeight * LossRate * GoldRate )+ TaxAmount + OtherCosts </t>
  </si>
  <si>
    <t xml:space="preserve">Nhập trên phần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</si>
</sst>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"/>
    <numFmt numFmtId="165" formatCode="_(* #,##0_);_(* \(#,##0\);_(* &quot;-&quot;??_);_(@_)"/>
    <numFmt numFmtId="166" formatCode="_(* #,##0.000_);_(* \(#,##0.000\);_(* &quot;-&quot;???_);_(@_)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0" borderId="0" xfId="0" applyFont="1"/>
    <xf numFmtId="164" fontId="8" fillId="0" borderId="0" xfId="0" applyNumberFormat="1" applyFont="1"/>
    <xf numFmtId="165" fontId="9" fillId="0" borderId="0" xfId="1" applyNumberFormat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18</xdr:row>
      <xdr:rowOff>0</xdr:rowOff>
    </xdr:from>
    <xdr:to>
      <xdr:col>15</xdr:col>
      <xdr:colOff>220165</xdr:colOff>
      <xdr:row>51</xdr:row>
      <xdr:rowOff>162830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CCA1A-6B4E-0C3B-0809-B5D074E36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8875" y="3886200"/>
          <a:ext cx="7811590" cy="648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11" workbookViewId="0">
      <selection activeCell="D27" sqref="D27"/>
    </sheetView>
  </sheetViews>
  <sheetFormatPr defaultRowHeight="15" x14ac:dyDescent="0.25"/>
  <cols>
    <col min="1" max="1" width="21.28515625" customWidth="1"/>
    <col min="2" max="2" width="24.7109375" customWidth="1"/>
    <col min="3" max="3" width="25.42578125" customWidth="1"/>
    <col min="4" max="7" width="26.42578125" customWidth="1"/>
    <col min="8" max="9" width="16.28515625" bestFit="1" customWidth="1"/>
  </cols>
  <sheetData>
    <row r="1" spans="1:7" x14ac:dyDescent="0.25">
      <c r="A1" s="1" t="s">
        <v>0</v>
      </c>
    </row>
    <row r="3" spans="1:7" ht="17.25" x14ac:dyDescent="0.25">
      <c r="A3" s="2" t="s">
        <v>1</v>
      </c>
    </row>
    <row r="5" spans="1:7" x14ac:dyDescent="0.25">
      <c r="A5" s="3" t="s">
        <v>2</v>
      </c>
    </row>
    <row r="7" spans="1:7" ht="17.25" x14ac:dyDescent="0.25">
      <c r="A7" s="2" t="s">
        <v>4</v>
      </c>
    </row>
    <row r="8" spans="1:7" ht="15.75" thickBot="1" x14ac:dyDescent="0.3"/>
    <row r="9" spans="1:7" ht="15.75" thickBot="1" x14ac:dyDescent="0.3">
      <c r="A9" s="4" t="s">
        <v>26</v>
      </c>
      <c r="B9" s="4" t="s">
        <v>3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9</v>
      </c>
    </row>
    <row r="10" spans="1:7" ht="30.75" thickBot="1" x14ac:dyDescent="0.3">
      <c r="A10" s="4" t="s">
        <v>27</v>
      </c>
      <c r="B10" s="5" t="s">
        <v>10</v>
      </c>
      <c r="C10" s="5" t="s">
        <v>28</v>
      </c>
      <c r="D10" s="5" t="s">
        <v>29</v>
      </c>
      <c r="E10" s="5" t="s">
        <v>29</v>
      </c>
      <c r="F10" s="5" t="s">
        <v>11</v>
      </c>
      <c r="G10" s="5" t="s">
        <v>30</v>
      </c>
    </row>
    <row r="11" spans="1:7" ht="29.25" thickBot="1" x14ac:dyDescent="0.3">
      <c r="A11" s="4" t="s">
        <v>25</v>
      </c>
      <c r="B11" s="5" t="s">
        <v>31</v>
      </c>
      <c r="C11" s="5">
        <v>0</v>
      </c>
      <c r="D11" s="5">
        <v>0</v>
      </c>
      <c r="E11" s="5">
        <v>0</v>
      </c>
      <c r="F11" s="5" t="s">
        <v>15</v>
      </c>
      <c r="G11" s="5" t="s">
        <v>32</v>
      </c>
    </row>
    <row r="12" spans="1:7" ht="29.25" thickBot="1" x14ac:dyDescent="0.3">
      <c r="A12" s="4" t="s">
        <v>12</v>
      </c>
      <c r="B12" s="5" t="s">
        <v>13</v>
      </c>
      <c r="C12" s="5" t="s">
        <v>14</v>
      </c>
      <c r="D12" s="5" t="s">
        <v>14</v>
      </c>
      <c r="E12" s="5" t="s">
        <v>33</v>
      </c>
      <c r="F12" s="5" t="s">
        <v>15</v>
      </c>
      <c r="G12" s="5" t="s">
        <v>30</v>
      </c>
    </row>
    <row r="13" spans="1:7" ht="30.75" thickBot="1" x14ac:dyDescent="0.3">
      <c r="A13" s="4" t="s">
        <v>16</v>
      </c>
      <c r="B13" s="5" t="s">
        <v>17</v>
      </c>
      <c r="C13" s="5">
        <v>0</v>
      </c>
      <c r="D13" s="5">
        <v>0</v>
      </c>
      <c r="E13" s="5">
        <v>0</v>
      </c>
      <c r="F13" s="5" t="s">
        <v>34</v>
      </c>
      <c r="G13" s="5" t="s">
        <v>30</v>
      </c>
    </row>
    <row r="14" spans="1:7" x14ac:dyDescent="0.25">
      <c r="A14" s="6"/>
    </row>
    <row r="15" spans="1:7" x14ac:dyDescent="0.25">
      <c r="A15" s="6" t="s">
        <v>43</v>
      </c>
    </row>
    <row r="16" spans="1:7" x14ac:dyDescent="0.25">
      <c r="A16" s="6"/>
    </row>
    <row r="17" spans="1:9" x14ac:dyDescent="0.25">
      <c r="A17" s="6" t="s">
        <v>35</v>
      </c>
    </row>
    <row r="18" spans="1:9" x14ac:dyDescent="0.25">
      <c r="A18" s="6" t="s">
        <v>36</v>
      </c>
    </row>
    <row r="19" spans="1:9" x14ac:dyDescent="0.25">
      <c r="A19" s="6" t="s">
        <v>37</v>
      </c>
    </row>
    <row r="20" spans="1:9" x14ac:dyDescent="0.25">
      <c r="A20" s="6" t="s">
        <v>38</v>
      </c>
      <c r="C20" t="s">
        <v>40</v>
      </c>
    </row>
    <row r="21" spans="1:9" x14ac:dyDescent="0.25">
      <c r="A21" s="6" t="s">
        <v>41</v>
      </c>
      <c r="D21" s="9">
        <f>1-(61/63)</f>
        <v>3.1746031746031744E-2</v>
      </c>
    </row>
    <row r="22" spans="1:9" x14ac:dyDescent="0.25">
      <c r="A22" s="6" t="s">
        <v>39</v>
      </c>
    </row>
    <row r="23" spans="1:9" ht="18" x14ac:dyDescent="0.25">
      <c r="A23" s="8" t="s">
        <v>18</v>
      </c>
      <c r="G23">
        <f>1-(75/75.3)</f>
        <v>3.9840637450199168E-3</v>
      </c>
    </row>
    <row r="24" spans="1:9" x14ac:dyDescent="0.25">
      <c r="A24" s="6"/>
      <c r="D24" t="s">
        <v>42</v>
      </c>
      <c r="G24">
        <f>1-(61/63)</f>
        <v>3.1746031746031744E-2</v>
      </c>
    </row>
    <row r="25" spans="1:9" x14ac:dyDescent="0.25">
      <c r="A25" s="7" t="s">
        <v>19</v>
      </c>
    </row>
    <row r="26" spans="1:9" x14ac:dyDescent="0.25">
      <c r="A26" s="6"/>
    </row>
    <row r="27" spans="1:9" x14ac:dyDescent="0.25">
      <c r="A27" s="7" t="s">
        <v>20</v>
      </c>
    </row>
    <row r="28" spans="1:9" x14ac:dyDescent="0.25">
      <c r="A28" s="6"/>
    </row>
    <row r="29" spans="1:9" x14ac:dyDescent="0.25">
      <c r="A29" s="7" t="s">
        <v>21</v>
      </c>
      <c r="F29" s="10">
        <v>33.746000000000002</v>
      </c>
      <c r="G29" s="11">
        <v>16423000</v>
      </c>
      <c r="H29" s="12">
        <f>F29*G29</f>
        <v>554210558</v>
      </c>
      <c r="I29" s="12">
        <f>H29*75/100</f>
        <v>415657918.5</v>
      </c>
    </row>
    <row r="30" spans="1:9" x14ac:dyDescent="0.25">
      <c r="A30" s="6"/>
      <c r="F30">
        <v>25.3095</v>
      </c>
      <c r="G30" s="11">
        <v>16423000</v>
      </c>
      <c r="H30" s="12">
        <f>F30*G30</f>
        <v>415657918.5</v>
      </c>
      <c r="I30" s="12">
        <f>H30*75/100</f>
        <v>311743438.875</v>
      </c>
    </row>
    <row r="31" spans="1:9" x14ac:dyDescent="0.25">
      <c r="A31" s="7" t="s">
        <v>22</v>
      </c>
    </row>
    <row r="32" spans="1:9" x14ac:dyDescent="0.25">
      <c r="A32" s="6"/>
    </row>
    <row r="33" spans="1:5" x14ac:dyDescent="0.25">
      <c r="A33" s="7" t="s">
        <v>23</v>
      </c>
    </row>
    <row r="34" spans="1:5" x14ac:dyDescent="0.25">
      <c r="A34" s="6"/>
      <c r="E34">
        <f>1-(6)</f>
        <v>-5</v>
      </c>
    </row>
    <row r="35" spans="1:5" x14ac:dyDescent="0.25">
      <c r="A35" s="7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84979820802</cp:lastModifiedBy>
  <dcterms:created xsi:type="dcterms:W3CDTF">2015-06-05T18:17:20Z</dcterms:created>
  <dcterms:modified xsi:type="dcterms:W3CDTF">2026-08-11T14:01:30Z</dcterms:modified>
</cp:coreProperties>
</file>