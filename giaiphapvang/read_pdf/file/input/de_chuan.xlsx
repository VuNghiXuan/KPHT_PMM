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hanhVu\kpht\GiaiPhapVang\read_pdf\file\input\"/>
    </mc:Choice>
  </mc:AlternateContent>
  <xr:revisionPtr revIDLastSave="0" documentId="13_ncr:1_{626AD989-4379-4A1C-A45D-637725272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kiểm t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Q8" i="1"/>
  <c r="I9" i="2"/>
  <c r="J9" i="2" s="1"/>
  <c r="J8" i="2"/>
  <c r="K8" i="2" s="1"/>
</calcChain>
</file>

<file path=xl/sharedStrings.xml><?xml version="1.0" encoding="utf-8"?>
<sst xmlns="http://schemas.openxmlformats.org/spreadsheetml/2006/main" count="58" uniqueCount="30">
  <si>
    <t>Quy 9999</t>
  </si>
  <si>
    <t>Lai PK</t>
  </si>
  <si>
    <t>PK2404000088061</t>
  </si>
  <si>
    <t>ORO LY Jewelry Tools&amp;Equipment</t>
  </si>
  <si>
    <t>Đơn vị đổi dẻ:</t>
  </si>
  <si>
    <t>Địa chỉ:</t>
  </si>
  <si>
    <t>139 Phó Cơ Điều, P6, Q11, TP.HCM</t>
  </si>
  <si>
    <t>Mã dẻ</t>
  </si>
  <si>
    <t>DỊCH VỤ PHÂN KIM - TRAO ĐỔI DẺ</t>
  </si>
  <si>
    <t>Dẻ phân kim</t>
  </si>
  <si>
    <t>Thông tin đổi dẻ</t>
  </si>
  <si>
    <t>Trọng lượng (chỉ)</t>
  </si>
  <si>
    <t>Phổ 1</t>
  </si>
  <si>
    <t>Phổ 2</t>
  </si>
  <si>
    <t>Phổ 3</t>
  </si>
  <si>
    <t>Phổ 4</t>
  </si>
  <si>
    <t>Phổ trung bình</t>
  </si>
  <si>
    <t>Dẻ số 1</t>
  </si>
  <si>
    <t>Dể số 2</t>
  </si>
  <si>
    <t>Dẻ số 3</t>
  </si>
  <si>
    <t>Dể số 4</t>
  </si>
  <si>
    <t>Dẻ số 5</t>
  </si>
  <si>
    <t>Quy 10</t>
  </si>
  <si>
    <t>Dẻ trả khách</t>
  </si>
  <si>
    <t>Tuổi vàng</t>
  </si>
  <si>
    <t>Còn lại</t>
  </si>
  <si>
    <t>Trọng lượng trả vàng</t>
  </si>
  <si>
    <t>Trọng lượng</t>
  </si>
  <si>
    <t>Thành tiền *95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</si>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</sst>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P30" sqref="P30"/>
    </sheetView>
  </sheetViews>
  <sheetFormatPr defaultRowHeight="15" x14ac:dyDescent="0.25"/>
  <cols>
    <col min="1" max="1" width="13.85546875" bestFit="1" customWidth="1"/>
    <col min="2" max="2" width="18.42578125" customWidth="1"/>
    <col min="7" max="7" width="14.140625" bestFit="1" customWidth="1"/>
    <col min="8" max="8" width="16.5703125" bestFit="1" customWidth="1"/>
    <col min="17" max="17" width="12" bestFit="1" customWidth="1"/>
    <col min="19" max="19" width="14" bestFit="1" customWidth="1"/>
  </cols>
  <sheetData>
    <row r="1" spans="1:19" x14ac:dyDescent="0.25">
      <c r="A1" s="1" t="s">
        <v>4</v>
      </c>
      <c r="B1" t="s">
        <v>3</v>
      </c>
    </row>
    <row r="2" spans="1:19" x14ac:dyDescent="0.25">
      <c r="A2" s="1" t="s">
        <v>5</v>
      </c>
      <c r="B2" t="s">
        <v>6</v>
      </c>
    </row>
    <row r="3" spans="1:19" x14ac:dyDescent="0.25">
      <c r="A3" t="s">
        <v>8</v>
      </c>
    </row>
    <row r="4" spans="1:19" x14ac:dyDescent="0.25">
      <c r="A4" s="1" t="s">
        <v>7</v>
      </c>
      <c r="B4" t="s">
        <v>2</v>
      </c>
    </row>
    <row r="5" spans="1:19" x14ac:dyDescent="0.25">
      <c r="A5" s="1"/>
    </row>
    <row r="6" spans="1:19" x14ac:dyDescent="0.25">
      <c r="A6" s="5" t="s">
        <v>9</v>
      </c>
      <c r="B6" s="5" t="s">
        <v>10</v>
      </c>
      <c r="C6" s="5"/>
      <c r="D6" s="5"/>
      <c r="E6" s="5"/>
      <c r="F6" s="5"/>
      <c r="G6" s="5"/>
      <c r="H6" s="5" t="s">
        <v>0</v>
      </c>
      <c r="I6" s="5"/>
      <c r="J6" s="5"/>
      <c r="K6" s="5" t="s">
        <v>23</v>
      </c>
      <c r="L6" s="5"/>
      <c r="M6" s="5"/>
      <c r="N6" s="5"/>
      <c r="O6" s="5"/>
      <c r="P6" s="5"/>
      <c r="Q6" s="5" t="s">
        <v>26</v>
      </c>
      <c r="R6" s="5"/>
      <c r="S6" s="5" t="s">
        <v>28</v>
      </c>
    </row>
    <row r="7" spans="1:19" ht="45" x14ac:dyDescent="0.25">
      <c r="A7" s="5"/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24</v>
      </c>
      <c r="H7" s="6" t="s">
        <v>11</v>
      </c>
      <c r="I7" s="6" t="s">
        <v>1</v>
      </c>
      <c r="J7" s="6" t="s">
        <v>22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24</v>
      </c>
      <c r="Q7" s="6" t="s">
        <v>27</v>
      </c>
      <c r="R7" s="6" t="s">
        <v>25</v>
      </c>
      <c r="S7" s="5"/>
    </row>
    <row r="8" spans="1:19" x14ac:dyDescent="0.25">
      <c r="A8" s="7" t="s">
        <v>17</v>
      </c>
      <c r="B8" s="8">
        <v>41.31</v>
      </c>
      <c r="C8" s="8">
        <v>63.59</v>
      </c>
      <c r="D8" s="8">
        <v>63.62</v>
      </c>
      <c r="E8" s="8">
        <v>0</v>
      </c>
      <c r="F8" s="8">
        <v>0</v>
      </c>
      <c r="G8" s="8">
        <v>63.6</v>
      </c>
      <c r="H8" s="7">
        <v>0</v>
      </c>
      <c r="I8" s="7">
        <v>0.3</v>
      </c>
      <c r="J8" s="7">
        <v>26.14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8">
        <v>0</v>
      </c>
      <c r="Q8" s="7">
        <f>J8</f>
        <v>26.14</v>
      </c>
      <c r="R8" s="7">
        <v>0</v>
      </c>
      <c r="S8" s="7"/>
    </row>
    <row r="9" spans="1:19" x14ac:dyDescent="0.25">
      <c r="A9" s="7" t="s">
        <v>18</v>
      </c>
      <c r="B9" s="8">
        <v>71.3</v>
      </c>
      <c r="C9" s="8">
        <v>62.31</v>
      </c>
      <c r="D9" s="8">
        <v>62.39</v>
      </c>
      <c r="E9" s="8"/>
      <c r="F9" s="8"/>
      <c r="G9" s="8"/>
      <c r="H9" s="8"/>
      <c r="I9" s="8"/>
      <c r="J9" s="8"/>
      <c r="K9" s="8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 t="s">
        <v>19</v>
      </c>
      <c r="B10" s="8">
        <v>59.46</v>
      </c>
      <c r="C10" s="8"/>
      <c r="D10" s="8"/>
      <c r="E10" s="8"/>
      <c r="F10" s="8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 t="s">
        <v>20</v>
      </c>
      <c r="B11" s="8">
        <v>39.36</v>
      </c>
      <c r="C11" s="8"/>
      <c r="D11" s="8"/>
      <c r="E11" s="8"/>
      <c r="F11" s="8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 t="s">
        <v>21</v>
      </c>
      <c r="B12" s="8">
        <v>67.23</v>
      </c>
      <c r="C12" s="8"/>
      <c r="D12" s="8"/>
      <c r="E12" s="8"/>
      <c r="F12" s="8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 t="s">
        <v>29</v>
      </c>
      <c r="B13" s="8">
        <f>SUM(B8:B12)</f>
        <v>278.66000000000003</v>
      </c>
      <c r="C13" s="8"/>
      <c r="D13" s="8"/>
      <c r="E13" s="8"/>
      <c r="F13" s="8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</sheetData>
  <mergeCells count="6">
    <mergeCell ref="Q6:R6"/>
    <mergeCell ref="S6:S7"/>
    <mergeCell ref="A6:A7"/>
    <mergeCell ref="B6:G6"/>
    <mergeCell ref="H6:J6"/>
    <mergeCell ref="K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F533-B4C9-4C1A-8284-49E41524151C}">
  <dimension ref="A1:N12"/>
  <sheetViews>
    <sheetView workbookViewId="0">
      <selection sqref="A1:XFD1048576"/>
    </sheetView>
  </sheetViews>
  <sheetFormatPr defaultRowHeight="15" x14ac:dyDescent="0.25"/>
  <cols>
    <col min="1" max="1" width="13.85546875" bestFit="1" customWidth="1"/>
    <col min="2" max="2" width="18.42578125" customWidth="1"/>
    <col min="7" max="7" width="14.140625" bestFit="1" customWidth="1"/>
    <col min="8" max="8" width="14.140625" customWidth="1"/>
  </cols>
  <sheetData>
    <row r="1" spans="1:14" x14ac:dyDescent="0.25">
      <c r="A1" s="1" t="s">
        <v>4</v>
      </c>
      <c r="B1" t="s">
        <v>3</v>
      </c>
    </row>
    <row r="2" spans="1:14" x14ac:dyDescent="0.25">
      <c r="A2" s="1" t="s">
        <v>5</v>
      </c>
      <c r="B2" t="s">
        <v>6</v>
      </c>
    </row>
    <row r="3" spans="1:14" x14ac:dyDescent="0.25">
      <c r="A3" t="s">
        <v>8</v>
      </c>
    </row>
    <row r="4" spans="1:14" x14ac:dyDescent="0.25">
      <c r="A4" s="1" t="s">
        <v>7</v>
      </c>
      <c r="B4" t="s">
        <v>2</v>
      </c>
    </row>
    <row r="5" spans="1:14" x14ac:dyDescent="0.25">
      <c r="A5" s="1"/>
    </row>
    <row r="6" spans="1:14" x14ac:dyDescent="0.25">
      <c r="A6" s="2" t="s">
        <v>9</v>
      </c>
      <c r="B6" s="2" t="s">
        <v>10</v>
      </c>
      <c r="C6" s="2"/>
      <c r="D6" s="2"/>
      <c r="E6" s="2"/>
      <c r="F6" s="2"/>
      <c r="G6" s="2"/>
      <c r="H6" s="2" t="s">
        <v>1</v>
      </c>
      <c r="I6" s="2" t="s">
        <v>0</v>
      </c>
      <c r="J6" s="3"/>
      <c r="K6" s="3"/>
      <c r="L6" s="3"/>
      <c r="M6" s="3"/>
      <c r="N6" s="3"/>
    </row>
    <row r="7" spans="1:14" x14ac:dyDescent="0.25">
      <c r="A7" s="2"/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2"/>
      <c r="I7" s="2"/>
    </row>
    <row r="8" spans="1:14" x14ac:dyDescent="0.25">
      <c r="A8" t="s">
        <v>17</v>
      </c>
      <c r="B8">
        <v>41.31</v>
      </c>
      <c r="C8">
        <v>63.59</v>
      </c>
      <c r="D8">
        <v>63.62</v>
      </c>
      <c r="G8" s="4">
        <v>63.6</v>
      </c>
      <c r="H8" s="1">
        <v>0.3</v>
      </c>
      <c r="I8">
        <v>26.14</v>
      </c>
      <c r="J8">
        <f>G8*B8/99.99</f>
        <v>26.275787578757878</v>
      </c>
      <c r="K8">
        <f>J8-0.3</f>
        <v>25.975787578757878</v>
      </c>
    </row>
    <row r="9" spans="1:14" x14ac:dyDescent="0.25">
      <c r="A9" t="s">
        <v>18</v>
      </c>
      <c r="I9" s="4">
        <f>G8-H8</f>
        <v>63.300000000000004</v>
      </c>
      <c r="J9">
        <f>I9*B8/100</f>
        <v>26.149230000000003</v>
      </c>
    </row>
    <row r="10" spans="1:14" x14ac:dyDescent="0.25">
      <c r="A10" t="s">
        <v>19</v>
      </c>
    </row>
    <row r="11" spans="1:14" x14ac:dyDescent="0.25">
      <c r="A11" t="s">
        <v>20</v>
      </c>
    </row>
    <row r="12" spans="1:14" x14ac:dyDescent="0.25">
      <c r="A12" t="s">
        <v>21</v>
      </c>
    </row>
  </sheetData>
  <mergeCells count="4">
    <mergeCell ref="A6:A7"/>
    <mergeCell ref="B6:G6"/>
    <mergeCell ref="H6:H7"/>
    <mergeCell ref="I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kiểm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2025-10-18T11:51:31Z</dcterms:created>
  <dcterms:modified xsi:type="dcterms:W3CDTF">2025-10-18T13:01:24Z</dcterms:modified>
</cp:coreProperties>
</file>