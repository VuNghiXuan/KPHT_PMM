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pc\Desktop\MAU BIEU\"/>
    </mc:Choice>
  </mc:AlternateContent>
  <bookViews>
    <workbookView xWindow="0" yWindow="0" windowWidth="28800" windowHeight="13620" activeTab="1"/>
  </bookViews>
  <sheets>
    <sheet name="Phieu nhâp" sheetId="2" r:id="rId1"/>
    <sheet name="BK lam NT9999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I16" i="3"/>
  <c r="G16" i="3"/>
  <c r="I12" i="3"/>
  <c r="I13" i="3"/>
  <c r="I11" i="3"/>
  <c r="F12" i="3"/>
  <c r="F13" i="3"/>
  <c r="L5" i="2"/>
  <c r="F11" i="3"/>
  <c r="G12" i="3"/>
  <c r="G13" i="3"/>
  <c r="G11" i="3"/>
  <c r="E12" i="3"/>
  <c r="E13" i="3"/>
  <c r="E11" i="3"/>
  <c r="A12" i="3"/>
  <c r="A13" i="3"/>
  <c r="B12" i="3"/>
  <c r="B13" i="3"/>
  <c r="C12" i="3"/>
  <c r="C13" i="3"/>
  <c r="C11" i="3"/>
  <c r="B11" i="3"/>
  <c r="A11" i="3"/>
  <c r="E28" i="3"/>
  <c r="J6" i="2" l="1"/>
  <c r="J7" i="2"/>
  <c r="J5" i="2"/>
  <c r="G7" i="2"/>
  <c r="G6" i="2"/>
  <c r="G5" i="2"/>
  <c r="D12" i="2" l="1"/>
  <c r="G11" i="2"/>
  <c r="I11" i="2" s="1"/>
  <c r="G10" i="2"/>
  <c r="I10" i="2" s="1"/>
  <c r="G9" i="2"/>
  <c r="I9" i="2" s="1"/>
  <c r="G8" i="2"/>
  <c r="I8" i="2" s="1"/>
  <c r="I7" i="2"/>
  <c r="I6" i="2"/>
  <c r="G12" i="2" l="1"/>
  <c r="I5" i="2"/>
  <c r="I12" i="2" l="1"/>
  <c r="J8" i="2" l="1"/>
  <c r="K8" i="2" s="1"/>
  <c r="L8" i="2" s="1"/>
  <c r="K6" i="2"/>
  <c r="L6" i="2" s="1"/>
  <c r="K7" i="2"/>
  <c r="L7" i="2" s="1"/>
  <c r="J14" i="2" l="1"/>
  <c r="K5" i="2"/>
  <c r="K12" i="2" l="1"/>
</calcChain>
</file>

<file path=xl/sharedStrings.xml><?xml version="1.0" encoding="utf-8"?>
<sst xmlns="http://schemas.openxmlformats.org/spreadsheetml/2006/main" count="59" uniqueCount="47">
  <si>
    <t>Ngày Nhập</t>
  </si>
  <si>
    <t>Tuổi vàng</t>
  </si>
  <si>
    <t>Loại Vàng</t>
  </si>
  <si>
    <t>Thành tiền</t>
  </si>
  <si>
    <t>Shíp</t>
  </si>
  <si>
    <t>Giá Trị nhập</t>
  </si>
  <si>
    <t>Đơn giá/chỉ</t>
  </si>
  <si>
    <t>Vàng thỏi</t>
  </si>
  <si>
    <t>TL vàng</t>
  </si>
  <si>
    <t>Tổng cộng</t>
  </si>
  <si>
    <t>PHIẾU NHẬP HÀNG</t>
  </si>
  <si>
    <t>Kiểm tra tiền ship</t>
  </si>
  <si>
    <t>Tuổi quy</t>
  </si>
  <si>
    <t>Quy</t>
  </si>
  <si>
    <t>Làm tròn</t>
  </si>
  <si>
    <t>Đơn giá mua</t>
  </si>
  <si>
    <t>CTY TNHH Hiệp Thành jewelry - CN1</t>
  </si>
  <si>
    <t>ĐC : 27 Nguyễn Ảnh Thủ, P.Hiệp Thành, Quận 12, TpHCM</t>
  </si>
  <si>
    <t>BẢNG KÊ LÀM NHẪN TRƠN</t>
  </si>
  <si>
    <t>Bộ phận nhận</t>
  </si>
  <si>
    <t>Địa chỉ :</t>
  </si>
  <si>
    <t>I. Dẻ đi gia công lại</t>
  </si>
  <si>
    <t>ST</t>
  </si>
  <si>
    <t>Nhóm hàng</t>
  </si>
  <si>
    <t>Số lượng</t>
  </si>
  <si>
    <t>Tổng cân</t>
  </si>
  <si>
    <t>Đơn giá</t>
  </si>
  <si>
    <t>Quy ra 99,7</t>
  </si>
  <si>
    <t>Ghi chú</t>
  </si>
  <si>
    <t>II. Thành phẩm</t>
  </si>
  <si>
    <t>Bộ Phận thợ ghi nhận</t>
  </si>
  <si>
    <t>Bộ phận nhập hàng</t>
  </si>
  <si>
    <t>TL vàng giao thực tế</t>
  </si>
  <si>
    <t>Hao hụt</t>
  </si>
  <si>
    <t>TL Vàng thực nhập</t>
  </si>
  <si>
    <t>5P</t>
  </si>
  <si>
    <t>1C</t>
  </si>
  <si>
    <t>2C</t>
  </si>
  <si>
    <t>5C</t>
  </si>
  <si>
    <t>1 Lượng</t>
  </si>
  <si>
    <t xml:space="preserve">Vàng 99,7 </t>
  </si>
  <si>
    <t>Ngày ….... tháng …....... năm 20…...</t>
  </si>
  <si>
    <t>Người giao</t>
  </si>
  <si>
    <t>Thợ nhận</t>
  </si>
  <si>
    <t>Nhập hàng</t>
  </si>
  <si>
    <t>Người nhận</t>
  </si>
  <si>
    <t>Ngày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</si>
</sst>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7" formatCode="dd/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2" fillId="0" borderId="0" xfId="0" applyNumberFormat="1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3" fillId="2" borderId="1" xfId="0" applyNumberFormat="1" applyFont="1" applyFill="1" applyBorder="1"/>
    <xf numFmtId="164" fontId="3" fillId="0" borderId="1" xfId="1" applyNumberFormat="1" applyFont="1" applyBorder="1"/>
    <xf numFmtId="165" fontId="0" fillId="2" borderId="1" xfId="1" applyNumberFormat="1" applyFont="1" applyFill="1" applyBorder="1"/>
    <xf numFmtId="164" fontId="0" fillId="2" borderId="1" xfId="1" applyNumberFormat="1" applyFont="1" applyFill="1" applyBorder="1"/>
    <xf numFmtId="165" fontId="3" fillId="0" borderId="1" xfId="0" applyNumberFormat="1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1" applyNumberFormat="1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/>
    <xf numFmtId="165" fontId="0" fillId="0" borderId="1" xfId="1" applyNumberFormat="1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Fill="1" applyBorder="1"/>
    <xf numFmtId="165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4" xfId="0" applyFill="1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shrinkToFit="1"/>
    </xf>
    <xf numFmtId="167" fontId="0" fillId="0" borderId="1" xfId="0" applyNumberFormat="1" applyBorder="1" applyAlignment="1">
      <alignment shrinkToFit="1"/>
    </xf>
    <xf numFmtId="164" fontId="0" fillId="0" borderId="1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6"/>
  <sheetViews>
    <sheetView workbookViewId="0">
      <selection activeCell="L6" sqref="L6"/>
    </sheetView>
  </sheetViews>
  <sheetFormatPr defaultRowHeight="15" x14ac:dyDescent="0.25"/>
  <cols>
    <col min="2" max="2" width="12.140625" customWidth="1"/>
    <col min="3" max="3" width="11.28515625" customWidth="1"/>
    <col min="8" max="8" width="13.5703125" customWidth="1"/>
    <col min="9" max="9" width="14.140625" customWidth="1"/>
    <col min="10" max="10" width="10.5703125" customWidth="1"/>
    <col min="11" max="11" width="14.7109375" customWidth="1"/>
    <col min="12" max="12" width="12.28515625" customWidth="1"/>
  </cols>
  <sheetData>
    <row r="2" spans="2:12" ht="39" x14ac:dyDescent="0.6">
      <c r="B2" s="16" t="s">
        <v>10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2:12" x14ac:dyDescent="0.25">
      <c r="B4" s="2" t="s">
        <v>0</v>
      </c>
      <c r="C4" s="2" t="s">
        <v>2</v>
      </c>
      <c r="D4" s="2" t="s">
        <v>8</v>
      </c>
      <c r="E4" s="2" t="s">
        <v>1</v>
      </c>
      <c r="F4" s="2" t="s">
        <v>12</v>
      </c>
      <c r="G4" s="3" t="s">
        <v>13</v>
      </c>
      <c r="H4" s="2" t="s">
        <v>15</v>
      </c>
      <c r="I4" s="3" t="s">
        <v>3</v>
      </c>
      <c r="J4" s="4" t="s">
        <v>4</v>
      </c>
      <c r="K4" s="3" t="s">
        <v>5</v>
      </c>
      <c r="L4" s="4" t="s">
        <v>6</v>
      </c>
    </row>
    <row r="5" spans="2:12" x14ac:dyDescent="0.25">
      <c r="B5" s="5">
        <v>45828</v>
      </c>
      <c r="C5" s="6" t="s">
        <v>7</v>
      </c>
      <c r="D5" s="6">
        <v>23.754999999999999</v>
      </c>
      <c r="E5" s="6">
        <v>99.945999999999998</v>
      </c>
      <c r="F5" s="6">
        <v>95</v>
      </c>
      <c r="G5" s="12">
        <f>ROUND(E5/F5*D5,3)</f>
        <v>24.992000000000001</v>
      </c>
      <c r="H5" s="7">
        <v>10085000</v>
      </c>
      <c r="I5" s="13">
        <f>ROUND(G5*H5,-3)</f>
        <v>252044000</v>
      </c>
      <c r="J5" s="9">
        <f>ROUND($J$12/$I$12*I5,$J$15)</f>
        <v>31400</v>
      </c>
      <c r="K5" s="8">
        <f>I5+J5</f>
        <v>252075400</v>
      </c>
      <c r="L5" s="9">
        <f>ROUND(K5/D5,0)</f>
        <v>10611467</v>
      </c>
    </row>
    <row r="6" spans="2:12" x14ac:dyDescent="0.25">
      <c r="B6" s="5">
        <v>45828</v>
      </c>
      <c r="C6" s="6" t="s">
        <v>7</v>
      </c>
      <c r="D6" s="6">
        <v>77.245999999999995</v>
      </c>
      <c r="E6" s="6">
        <v>99.960999999999999</v>
      </c>
      <c r="F6" s="6">
        <v>95</v>
      </c>
      <c r="G6" s="12">
        <f t="shared" ref="G6:G7" si="0">ROUND(E6/F6*D6,3)</f>
        <v>81.28</v>
      </c>
      <c r="H6" s="7">
        <v>10085000</v>
      </c>
      <c r="I6" s="13">
        <f t="shared" ref="I6:I11" si="1">ROUND(G6*H6,-3)</f>
        <v>819709000</v>
      </c>
      <c r="J6" s="9">
        <f t="shared" ref="J6:J7" si="2">ROUND($J$12/$I$12*I6,$J$15)</f>
        <v>102200</v>
      </c>
      <c r="K6" s="8">
        <f t="shared" ref="K6:K8" si="3">I6+J6</f>
        <v>819811200</v>
      </c>
      <c r="L6" s="9">
        <f t="shared" ref="L6:L8" si="4">K6/D6</f>
        <v>10612992.258498823</v>
      </c>
    </row>
    <row r="7" spans="2:12" x14ac:dyDescent="0.25">
      <c r="B7" s="5">
        <v>45828</v>
      </c>
      <c r="C7" s="6" t="s">
        <v>7</v>
      </c>
      <c r="D7" s="6">
        <v>50</v>
      </c>
      <c r="E7" s="6">
        <v>99.99</v>
      </c>
      <c r="F7" s="6">
        <v>99.99</v>
      </c>
      <c r="G7" s="12">
        <f t="shared" si="0"/>
        <v>50</v>
      </c>
      <c r="H7" s="7">
        <v>10650000</v>
      </c>
      <c r="I7" s="13">
        <f t="shared" si="1"/>
        <v>532500000</v>
      </c>
      <c r="J7" s="9">
        <f t="shared" si="2"/>
        <v>66400</v>
      </c>
      <c r="K7" s="8">
        <f t="shared" si="3"/>
        <v>532566400</v>
      </c>
      <c r="L7" s="9">
        <f t="shared" si="4"/>
        <v>10651328</v>
      </c>
    </row>
    <row r="8" spans="2:12" x14ac:dyDescent="0.25">
      <c r="B8" s="5"/>
      <c r="C8" s="6"/>
      <c r="D8" s="6"/>
      <c r="E8" s="6"/>
      <c r="F8" s="6"/>
      <c r="G8" s="12">
        <f t="shared" ref="G8:G11" si="5">ROUND(E8/95*D8,3)</f>
        <v>0</v>
      </c>
      <c r="H8" s="7"/>
      <c r="I8" s="13">
        <f t="shared" si="1"/>
        <v>0</v>
      </c>
      <c r="J8" s="9">
        <f t="shared" ref="J8" si="6">ROUND($J$12/$I$12*I8,-3)</f>
        <v>0</v>
      </c>
      <c r="K8" s="8">
        <f t="shared" si="3"/>
        <v>0</v>
      </c>
      <c r="L8" s="9" t="e">
        <f t="shared" si="4"/>
        <v>#DIV/0!</v>
      </c>
    </row>
    <row r="9" spans="2:12" x14ac:dyDescent="0.25">
      <c r="B9" s="5"/>
      <c r="C9" s="6"/>
      <c r="D9" s="6"/>
      <c r="E9" s="6"/>
      <c r="F9" s="6"/>
      <c r="G9" s="12">
        <f t="shared" si="5"/>
        <v>0</v>
      </c>
      <c r="H9" s="7"/>
      <c r="I9" s="13">
        <f t="shared" si="1"/>
        <v>0</v>
      </c>
      <c r="J9" s="9"/>
      <c r="K9" s="8"/>
      <c r="L9" s="9"/>
    </row>
    <row r="10" spans="2:12" x14ac:dyDescent="0.25">
      <c r="B10" s="5"/>
      <c r="C10" s="6"/>
      <c r="D10" s="6"/>
      <c r="E10" s="6"/>
      <c r="F10" s="6"/>
      <c r="G10" s="12">
        <f t="shared" si="5"/>
        <v>0</v>
      </c>
      <c r="H10" s="7"/>
      <c r="I10" s="13">
        <f t="shared" si="1"/>
        <v>0</v>
      </c>
      <c r="J10" s="9"/>
      <c r="K10" s="8"/>
      <c r="L10" s="9"/>
    </row>
    <row r="11" spans="2:12" x14ac:dyDescent="0.25">
      <c r="B11" s="5"/>
      <c r="C11" s="6"/>
      <c r="D11" s="6"/>
      <c r="E11" s="6"/>
      <c r="F11" s="6"/>
      <c r="G11" s="12">
        <f t="shared" si="5"/>
        <v>0</v>
      </c>
      <c r="H11" s="7"/>
      <c r="I11" s="13">
        <f t="shared" si="1"/>
        <v>0</v>
      </c>
      <c r="J11" s="9"/>
      <c r="K11" s="8"/>
      <c r="L11" s="9"/>
    </row>
    <row r="12" spans="2:12" x14ac:dyDescent="0.25">
      <c r="B12" s="6"/>
      <c r="C12" s="2" t="s">
        <v>9</v>
      </c>
      <c r="D12" s="2">
        <f>SUM(D5:D11)</f>
        <v>151.00099999999998</v>
      </c>
      <c r="E12" s="2"/>
      <c r="F12" s="2"/>
      <c r="G12" s="14">
        <f>SUM(G5:G11)</f>
        <v>156.27199999999999</v>
      </c>
      <c r="H12" s="2"/>
      <c r="I12" s="10">
        <f>SUM(I5:I11)</f>
        <v>1604253000</v>
      </c>
      <c r="J12" s="11">
        <v>200000</v>
      </c>
      <c r="K12" s="10">
        <f>SUM(K5:K11)</f>
        <v>1604453000</v>
      </c>
      <c r="L12" s="6"/>
    </row>
    <row r="14" spans="2:12" x14ac:dyDescent="0.25">
      <c r="H14" s="17" t="s">
        <v>11</v>
      </c>
      <c r="I14" s="17"/>
      <c r="J14" s="1">
        <f>SUM(J5:J11)</f>
        <v>200000</v>
      </c>
    </row>
    <row r="15" spans="2:12" x14ac:dyDescent="0.25">
      <c r="I15" s="15" t="s">
        <v>14</v>
      </c>
      <c r="J15" s="15">
        <v>-2</v>
      </c>
    </row>
    <row r="16" spans="2:12" x14ac:dyDescent="0.25">
      <c r="I16" s="15"/>
      <c r="J16" s="15"/>
    </row>
  </sheetData>
  <mergeCells count="2">
    <mergeCell ref="B2:L2"/>
    <mergeCell ref="H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I12" sqref="I12"/>
    </sheetView>
  </sheetViews>
  <sheetFormatPr defaultRowHeight="15" x14ac:dyDescent="0.25"/>
  <cols>
    <col min="1" max="1" width="7.85546875" customWidth="1"/>
    <col min="2" max="2" width="10.42578125" customWidth="1"/>
    <col min="3" max="3" width="7.42578125" customWidth="1"/>
    <col min="4" max="4" width="7.28515625" customWidth="1"/>
    <col min="5" max="5" width="14.5703125" customWidth="1"/>
    <col min="6" max="6" width="11.85546875" customWidth="1"/>
    <col min="7" max="7" width="7.5703125" customWidth="1"/>
    <col min="8" max="8" width="11.7109375" customWidth="1"/>
    <col min="9" max="9" width="12.28515625" customWidth="1"/>
    <col min="10" max="10" width="11.5703125" bestFit="1" customWidth="1"/>
    <col min="11" max="11" width="12.5703125" bestFit="1" customWidth="1"/>
    <col min="12" max="12" width="11.5703125" bestFit="1" customWidth="1"/>
    <col min="13" max="13" width="13.28515625" style="18" bestFit="1" customWidth="1"/>
    <col min="14" max="14" width="14.28515625" bestFit="1" customWidth="1"/>
  </cols>
  <sheetData>
    <row r="1" spans="1:14" x14ac:dyDescent="0.25">
      <c r="A1" t="s">
        <v>16</v>
      </c>
    </row>
    <row r="2" spans="1:14" x14ac:dyDescent="0.25">
      <c r="A2" t="s">
        <v>17</v>
      </c>
    </row>
    <row r="4" spans="1:14" ht="26.25" x14ac:dyDescent="0.25">
      <c r="A4" s="19" t="s">
        <v>18</v>
      </c>
      <c r="B4" s="19"/>
      <c r="C4" s="19"/>
      <c r="D4" s="19"/>
      <c r="E4" s="19"/>
      <c r="F4" s="19"/>
      <c r="G4" s="19"/>
      <c r="H4" s="19"/>
      <c r="I4" s="19"/>
      <c r="J4" s="19"/>
    </row>
    <row r="6" spans="1:14" ht="24.75" customHeight="1" x14ac:dyDescent="0.25">
      <c r="A6" s="20" t="s">
        <v>19</v>
      </c>
    </row>
    <row r="7" spans="1:14" ht="24.75" customHeight="1" x14ac:dyDescent="0.25">
      <c r="A7" s="20" t="s">
        <v>20</v>
      </c>
    </row>
    <row r="8" spans="1:14" x14ac:dyDescent="0.25">
      <c r="A8" t="s">
        <v>21</v>
      </c>
    </row>
    <row r="10" spans="1:14" ht="30" x14ac:dyDescent="0.25">
      <c r="A10" s="21" t="s">
        <v>46</v>
      </c>
      <c r="B10" s="21" t="s">
        <v>23</v>
      </c>
      <c r="C10" s="21" t="s">
        <v>1</v>
      </c>
      <c r="D10" s="21" t="s">
        <v>24</v>
      </c>
      <c r="E10" s="21" t="s">
        <v>25</v>
      </c>
      <c r="F10" s="21" t="s">
        <v>26</v>
      </c>
      <c r="G10" s="22" t="s">
        <v>3</v>
      </c>
      <c r="H10" s="22"/>
      <c r="I10" s="21" t="s">
        <v>27</v>
      </c>
      <c r="J10" s="21" t="s">
        <v>28</v>
      </c>
      <c r="N10" s="23"/>
    </row>
    <row r="11" spans="1:14" ht="19.5" customHeight="1" x14ac:dyDescent="0.25">
      <c r="A11" s="40">
        <f>'Phieu nhâp'!B5</f>
        <v>45828</v>
      </c>
      <c r="B11" s="6" t="str">
        <f>'Phieu nhâp'!C5</f>
        <v>Vàng thỏi</v>
      </c>
      <c r="C11" s="6">
        <f>TRUNC('Phieu nhâp'!E5,2)</f>
        <v>99.94</v>
      </c>
      <c r="D11" s="6"/>
      <c r="E11" s="6">
        <f>'Phieu nhâp'!D5</f>
        <v>23.754999999999999</v>
      </c>
      <c r="F11" s="7">
        <f>G11/E11</f>
        <v>10611467.059566408</v>
      </c>
      <c r="G11" s="25">
        <f>'Phieu nhâp'!K5</f>
        <v>252075400</v>
      </c>
      <c r="H11" s="25"/>
      <c r="I11" s="6">
        <f>TRUNC(99.7/C11*E11,3)</f>
        <v>23.696999999999999</v>
      </c>
      <c r="J11" s="7"/>
      <c r="N11" s="23"/>
    </row>
    <row r="12" spans="1:14" ht="19.5" customHeight="1" x14ac:dyDescent="0.25">
      <c r="A12" s="40">
        <f>'Phieu nhâp'!B6</f>
        <v>45828</v>
      </c>
      <c r="B12" s="6" t="str">
        <f>'Phieu nhâp'!C6</f>
        <v>Vàng thỏi</v>
      </c>
      <c r="C12" s="6">
        <f>TRUNC('Phieu nhâp'!E6,2)</f>
        <v>99.96</v>
      </c>
      <c r="D12" s="6"/>
      <c r="E12" s="6">
        <f>'Phieu nhâp'!D6</f>
        <v>77.245999999999995</v>
      </c>
      <c r="F12" s="7">
        <f t="shared" ref="F12:F13" si="0">G12/E12</f>
        <v>10612992.258498823</v>
      </c>
      <c r="G12" s="25">
        <f>'Phieu nhâp'!K6</f>
        <v>819811200</v>
      </c>
      <c r="H12" s="25"/>
      <c r="I12" s="6">
        <f t="shared" ref="I12:I13" si="1">TRUNC(99.7/C12*E12,3)</f>
        <v>77.045000000000002</v>
      </c>
      <c r="J12" s="7"/>
      <c r="N12" s="23"/>
    </row>
    <row r="13" spans="1:14" ht="19.5" customHeight="1" x14ac:dyDescent="0.25">
      <c r="A13" s="40">
        <f>'Phieu nhâp'!B7</f>
        <v>45828</v>
      </c>
      <c r="B13" s="6" t="str">
        <f>'Phieu nhâp'!C7</f>
        <v>Vàng thỏi</v>
      </c>
      <c r="C13" s="6">
        <f>TRUNC('Phieu nhâp'!E7,2)</f>
        <v>99.99</v>
      </c>
      <c r="D13" s="6"/>
      <c r="E13" s="6">
        <f>'Phieu nhâp'!D7</f>
        <v>50</v>
      </c>
      <c r="F13" s="7">
        <f t="shared" si="0"/>
        <v>10651328</v>
      </c>
      <c r="G13" s="25">
        <f>'Phieu nhâp'!K7</f>
        <v>532566400</v>
      </c>
      <c r="H13" s="25"/>
      <c r="I13" s="6">
        <f t="shared" si="1"/>
        <v>49.853999999999999</v>
      </c>
      <c r="J13" s="7"/>
      <c r="N13" s="23"/>
    </row>
    <row r="14" spans="1:14" ht="19.5" customHeight="1" x14ac:dyDescent="0.25">
      <c r="A14" s="39"/>
      <c r="B14" s="6"/>
      <c r="C14" s="6"/>
      <c r="D14" s="6"/>
      <c r="E14" s="6"/>
      <c r="F14" s="24"/>
      <c r="G14" s="26"/>
      <c r="H14" s="26"/>
      <c r="I14" s="6"/>
      <c r="J14" s="27"/>
      <c r="N14" s="23"/>
    </row>
    <row r="15" spans="1:14" ht="19.5" customHeight="1" x14ac:dyDescent="0.25">
      <c r="A15" s="39"/>
      <c r="B15" s="6"/>
      <c r="C15" s="6"/>
      <c r="D15" s="6"/>
      <c r="E15" s="6"/>
      <c r="F15" s="6"/>
      <c r="G15" s="26"/>
      <c r="H15" s="26"/>
      <c r="I15" s="6"/>
      <c r="J15" s="27"/>
    </row>
    <row r="16" spans="1:14" ht="19.5" customHeight="1" x14ac:dyDescent="0.25">
      <c r="A16" s="39"/>
      <c r="B16" s="28" t="s">
        <v>9</v>
      </c>
      <c r="C16" s="28"/>
      <c r="D16" s="28"/>
      <c r="E16" s="28">
        <f>SUM(E11:E15)</f>
        <v>151.00099999999998</v>
      </c>
      <c r="F16" s="29"/>
      <c r="G16" s="41">
        <f>SUM(G11:H15)</f>
        <v>1604453000</v>
      </c>
      <c r="H16" s="30"/>
      <c r="I16" s="28">
        <f>SUM(I11:I15)</f>
        <v>150.596</v>
      </c>
      <c r="J16" s="28"/>
    </row>
    <row r="17" spans="1:13" x14ac:dyDescent="0.25">
      <c r="E17" s="31"/>
    </row>
    <row r="18" spans="1:13" x14ac:dyDescent="0.25">
      <c r="A18" t="s">
        <v>29</v>
      </c>
    </row>
    <row r="20" spans="1:13" x14ac:dyDescent="0.25">
      <c r="A20" s="22" t="s">
        <v>22</v>
      </c>
      <c r="B20" s="22" t="s">
        <v>23</v>
      </c>
      <c r="C20" s="22" t="s">
        <v>1</v>
      </c>
      <c r="D20" s="32" t="s">
        <v>30</v>
      </c>
      <c r="E20" s="33"/>
      <c r="F20" s="34"/>
      <c r="G20" s="26" t="s">
        <v>31</v>
      </c>
      <c r="H20" s="26"/>
      <c r="I20" s="26"/>
      <c r="J20" s="22" t="s">
        <v>28</v>
      </c>
    </row>
    <row r="21" spans="1:13" ht="30" x14ac:dyDescent="0.25">
      <c r="A21" s="22"/>
      <c r="B21" s="22"/>
      <c r="C21" s="22"/>
      <c r="D21" s="21" t="s">
        <v>24</v>
      </c>
      <c r="E21" s="21" t="s">
        <v>32</v>
      </c>
      <c r="F21" s="21" t="s">
        <v>33</v>
      </c>
      <c r="G21" s="21" t="s">
        <v>24</v>
      </c>
      <c r="H21" s="21" t="s">
        <v>34</v>
      </c>
      <c r="I21" s="21" t="s">
        <v>9</v>
      </c>
      <c r="J21" s="22"/>
      <c r="M21"/>
    </row>
    <row r="22" spans="1:13" ht="22.5" customHeight="1" x14ac:dyDescent="0.25">
      <c r="A22" s="6">
        <v>1</v>
      </c>
      <c r="B22" s="6" t="s">
        <v>35</v>
      </c>
      <c r="C22" s="6">
        <v>99.7</v>
      </c>
      <c r="D22" s="6"/>
      <c r="E22" s="6"/>
      <c r="F22" s="6"/>
      <c r="G22" s="6"/>
      <c r="H22" s="6"/>
      <c r="I22" s="27"/>
      <c r="J22" s="7"/>
      <c r="M22"/>
    </row>
    <row r="23" spans="1:13" ht="22.5" customHeight="1" x14ac:dyDescent="0.25">
      <c r="A23" s="6">
        <v>2</v>
      </c>
      <c r="B23" s="6" t="s">
        <v>36</v>
      </c>
      <c r="C23" s="6">
        <v>99.7</v>
      </c>
      <c r="D23" s="6"/>
      <c r="E23" s="6"/>
      <c r="F23" s="6"/>
      <c r="G23" s="6"/>
      <c r="H23" s="6"/>
      <c r="I23" s="27"/>
      <c r="J23" s="7"/>
      <c r="M23"/>
    </row>
    <row r="24" spans="1:13" ht="22.5" customHeight="1" x14ac:dyDescent="0.25">
      <c r="A24" s="6">
        <v>3</v>
      </c>
      <c r="B24" s="6" t="s">
        <v>37</v>
      </c>
      <c r="C24" s="6">
        <v>99.7</v>
      </c>
      <c r="D24" s="6"/>
      <c r="E24" s="6"/>
      <c r="F24" s="6"/>
      <c r="G24" s="6"/>
      <c r="H24" s="6"/>
      <c r="I24" s="27"/>
      <c r="J24" s="27"/>
      <c r="M24"/>
    </row>
    <row r="25" spans="1:13" ht="22.5" customHeight="1" x14ac:dyDescent="0.25">
      <c r="A25" s="6">
        <v>4</v>
      </c>
      <c r="B25" s="6" t="s">
        <v>38</v>
      </c>
      <c r="C25" s="6">
        <v>99.7</v>
      </c>
      <c r="D25" s="6"/>
      <c r="E25" s="6"/>
      <c r="F25" s="6"/>
      <c r="G25" s="6"/>
      <c r="H25" s="6"/>
      <c r="I25" s="27"/>
      <c r="J25" s="27"/>
      <c r="M25"/>
    </row>
    <row r="26" spans="1:13" ht="22.5" customHeight="1" x14ac:dyDescent="0.25">
      <c r="A26" s="6">
        <v>5</v>
      </c>
      <c r="B26" s="6" t="s">
        <v>39</v>
      </c>
      <c r="C26" s="6">
        <v>99.7</v>
      </c>
      <c r="D26" s="6"/>
      <c r="E26" s="6"/>
      <c r="F26" s="6"/>
      <c r="G26" s="6"/>
      <c r="H26" s="6"/>
      <c r="I26" s="27"/>
      <c r="J26" s="28"/>
      <c r="M26"/>
    </row>
    <row r="27" spans="1:13" ht="22.5" customHeight="1" x14ac:dyDescent="0.25">
      <c r="A27" s="6">
        <v>6</v>
      </c>
      <c r="B27" s="6" t="s">
        <v>40</v>
      </c>
      <c r="C27" s="6">
        <v>99.7</v>
      </c>
      <c r="D27" s="6"/>
      <c r="E27" s="6"/>
      <c r="F27" s="6"/>
      <c r="G27" s="6"/>
      <c r="H27" s="6"/>
      <c r="I27" s="27"/>
      <c r="J27" s="7"/>
      <c r="M27"/>
    </row>
    <row r="28" spans="1:13" ht="22.5" customHeight="1" x14ac:dyDescent="0.25">
      <c r="A28" s="6"/>
      <c r="B28" s="28" t="s">
        <v>9</v>
      </c>
      <c r="C28" s="28"/>
      <c r="D28" s="28"/>
      <c r="E28" s="6">
        <f>SUM(E22:E27)</f>
        <v>0</v>
      </c>
      <c r="F28" s="6"/>
      <c r="G28" s="6"/>
      <c r="H28" s="6"/>
      <c r="I28" s="27"/>
      <c r="J28" s="7"/>
      <c r="M28"/>
    </row>
    <row r="29" spans="1:13" x14ac:dyDescent="0.25">
      <c r="A29" s="35"/>
      <c r="B29" s="36"/>
      <c r="C29" s="36"/>
      <c r="D29" s="36"/>
      <c r="E29" s="36"/>
      <c r="F29" s="35"/>
      <c r="G29" s="35"/>
      <c r="H29" s="35"/>
    </row>
    <row r="30" spans="1:13" x14ac:dyDescent="0.25">
      <c r="F30" s="37"/>
      <c r="G30" s="37"/>
      <c r="H30" s="38" t="s">
        <v>41</v>
      </c>
      <c r="I30" s="38"/>
      <c r="J30" s="38"/>
    </row>
    <row r="31" spans="1:13" x14ac:dyDescent="0.25">
      <c r="A31" s="37" t="s">
        <v>42</v>
      </c>
      <c r="B31" s="37"/>
      <c r="C31" s="38" t="s">
        <v>43</v>
      </c>
      <c r="D31" s="38"/>
      <c r="E31" s="38"/>
      <c r="F31" s="38" t="s">
        <v>44</v>
      </c>
      <c r="G31" s="38"/>
      <c r="H31" s="38" t="s">
        <v>45</v>
      </c>
      <c r="I31" s="38"/>
      <c r="J31" s="38"/>
    </row>
  </sheetData>
  <mergeCells count="18">
    <mergeCell ref="J20:J21"/>
    <mergeCell ref="H30:J30"/>
    <mergeCell ref="C31:E31"/>
    <mergeCell ref="F31:G31"/>
    <mergeCell ref="H31:J31"/>
    <mergeCell ref="G15:H15"/>
    <mergeCell ref="G16:H16"/>
    <mergeCell ref="A20:A21"/>
    <mergeCell ref="B20:B21"/>
    <mergeCell ref="C20:C21"/>
    <mergeCell ref="D20:F20"/>
    <mergeCell ref="G20:I20"/>
    <mergeCell ref="G10:H10"/>
    <mergeCell ref="G11:H11"/>
    <mergeCell ref="G12:H12"/>
    <mergeCell ref="G13:H13"/>
    <mergeCell ref="G14:H14"/>
    <mergeCell ref="A4:J4"/>
  </mergeCells>
  <pageMargins left="0.28999999999999998" right="0.13" top="0.33" bottom="0.5699999999999999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 nhâp</vt:lpstr>
      <vt:lpstr>BK lam NT9999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ViTinh TTC</dc:creator>
  <cp:lastModifiedBy>ViTinh TTC</cp:lastModifiedBy>
  <cp:lastPrinted>2025-07-09T06:48:27Z</cp:lastPrinted>
  <dcterms:created xsi:type="dcterms:W3CDTF">2025-06-20T07:53:37Z</dcterms:created>
  <dcterms:modified xsi:type="dcterms:W3CDTF">2025-07-09T06:48:37Z</dcterms:modified>
</cp:coreProperties>
</file>