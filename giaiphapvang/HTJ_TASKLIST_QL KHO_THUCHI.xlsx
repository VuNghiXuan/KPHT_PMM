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ask" sheetId="1" r:id="rId5"/>
    <sheet state="hidden" name="Issues" sheetId="2" r:id="rId6"/>
    <sheet state="hidden" name="Roles" sheetId="3" r:id="rId7"/>
    <sheet state="hidden" name="Dashboard" sheetId="4" r:id="rId8"/>
    <sheet state="hidden" name="Báo cáo" sheetId="5" r:id="rId9"/>
    <sheet state="hidden" name="form Kiểm dẻ" sheetId="6" r:id="rId10"/>
    <sheet state="hidden" name="Quy Trình" sheetId="7" r:id="rId11"/>
    <sheet state="hidden" name="Tables" sheetId="8" r:id="rId12"/>
    <sheet state="hidden" name="form Đăng nhập" sheetId="9" r:id="rId13"/>
    <sheet state="hidden" name="form Loại vàng" sheetId="10" r:id="rId14"/>
    <sheet state="hidden" name="form Nhóm hàng" sheetId="11" r:id="rId15"/>
    <sheet state="hidden" name="form Kho" sheetId="12" r:id="rId16"/>
    <sheet state="hidden" name="form Nhóm đối tác" sheetId="13" r:id="rId17"/>
    <sheet state="hidden" name="form Đối tác" sheetId="14" r:id="rId18"/>
    <sheet state="hidden" name="form Phân loại hàng" sheetId="15" r:id="rId19"/>
    <sheet state="hidden" name="form Phiếu nhập kho" sheetId="16" r:id="rId20"/>
    <sheet state="hidden" name="form Phiếu xuất kho" sheetId="17" r:id="rId21"/>
    <sheet state="hidden" name="form Phiếu chuyển kho" sheetId="18" r:id="rId22"/>
    <sheet state="hidden" name="form Kiểm kê" sheetId="19" r:id="rId23"/>
    <sheet state="hidden" name="BC Chênh lệch tiền - vàng tổng " sheetId="20" r:id="rId24"/>
    <sheet state="hidden" name="BC Chênh lệch tiền - vàng chi t" sheetId="21" r:id="rId25"/>
    <sheet state="hidden" name="form Kiểm tồn" sheetId="22" r:id="rId26"/>
    <sheet state="visible" name="Entity" sheetId="23" r:id="rId27"/>
    <sheet state="visible" name="DANH MỤC TÀI KHOẢN" sheetId="24" r:id="rId28"/>
    <sheet state="visible" name="form Quản lý quà tặng" sheetId="25" r:id="rId29"/>
    <sheet state="visible" name="form Tặng quà theo HĐ" sheetId="26" r:id="rId30"/>
    <sheet state="visible" name="form Tặng quà không theo HĐ" sheetId="27" r:id="rId31"/>
    <sheet state="visible" name="Popup Danh sách HĐ chưa tặng qu" sheetId="28" r:id="rId32"/>
    <sheet state="visible" name="form Bảng kê tặng quà" sheetId="29" r:id="rId33"/>
    <sheet state="visible" name="Báo cáo thống kê Tặng quà" sheetId="30" r:id="rId34"/>
    <sheet state="hidden" name="NV - BC Phân loại hàng" sheetId="31" r:id="rId35"/>
    <sheet state="hidden" name="BC thay đổi Loại vàng" sheetId="32" r:id="rId36"/>
    <sheet state="hidden" name="BC Trọng lượng theo Loại vàng" sheetId="33" r:id="rId37"/>
    <sheet state="hidden" name="BC Trọng lượng theo Loại vàng (" sheetId="34" r:id="rId38"/>
    <sheet state="hidden" name="BC Thống kê hóa đơn" sheetId="35" r:id="rId39"/>
    <sheet state="hidden" name="BC thống kê tiền bớt" sheetId="36" r:id="rId40"/>
    <sheet state="hidden" name="BC thống kê tiền giao dịch (trư" sheetId="37" r:id="rId41"/>
    <sheet state="hidden" name="BC thống kê tiền giao dịch (sau" sheetId="38" r:id="rId42"/>
    <sheet state="hidden" name="BC Trừ điểm tích lũy" sheetId="39" r:id="rId43"/>
    <sheet state="hidden" name="BC Trừ điểm tích lũy chi tiết" sheetId="40" r:id="rId44"/>
    <sheet state="hidden" name="Báo cáo Tồn kho" sheetId="41" r:id="rId45"/>
    <sheet state="hidden" name="Báo cáo Tồn kho tổng hợp" sheetId="42" r:id="rId46"/>
    <sheet state="hidden" name="Báo cáo Kiểm kê" sheetId="43" r:id="rId47"/>
    <sheet state="visible" name="form Phiếu mua hàng" sheetId="44" r:id="rId48"/>
    <sheet state="visible" name="form Phiếu chi" sheetId="45" r:id="rId49"/>
    <sheet state="visible" name="form Phiếu thu" sheetId="46" r:id="rId50"/>
    <sheet state="visible" name="Mượn, trả chuyển trả tiền giữa " sheetId="47" r:id="rId51"/>
    <sheet state="visible" name="Mượn, trả, chuyển vàng giữa các" sheetId="48" r:id="rId52"/>
    <sheet state="visible" name="Phiếu chuyển tiền giữa các quầy" sheetId="49" r:id="rId53"/>
    <sheet state="visible" name="Phiếu tạm ứng- Vũ" sheetId="50" r:id="rId54"/>
    <sheet state="visible" name="Phiếu hoàn ứng- Vũ" sheetId="51" r:id="rId55"/>
    <sheet state="visible" name="Phiếu nhận hàng - Vũ" sheetId="52" r:id="rId56"/>
    <sheet state="hidden" name="form Kết nối cân" sheetId="53" r:id="rId57"/>
    <sheet state="hidden" name="Phác thảo công nợ" sheetId="54" r:id="rId58"/>
    <sheet state="hidden" name="BC Chênh lệch trả chành" sheetId="55" r:id="rId59"/>
    <sheet state="hidden" name="BC Thành tiền theo Loại vàng - " sheetId="56" r:id="rId60"/>
    <sheet state="hidden" name="Sheet10" sheetId="57" r:id="rId61"/>
    <sheet state="hidden" name="BC Trọng lượng theo Nhóm hàng" sheetId="58" r:id="rId62"/>
    <sheet state="hidden" name="BC Chênh lệch TL Dẻ nấu" sheetId="59" r:id="rId63"/>
    <sheet state="hidden" name="data" sheetId="60" r:id="rId6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Cập nhật HDDT cho các HĐ trong danh sách</t>
      </text>
    </comment>
    <comment authorId="0" ref="D3">
      <text>
        <t xml:space="preserve">1. Loại tặng quà = Hóa đơn: Mở Số HĐ phần mềm để quét hoặc nhập load thông tin Khách hàng, Số HDDT, Ngày HDDT.
2. Loại tặng quà = Khách hàng: Chỉ lấy thông tin Khách hàng.</t>
      </text>
    </comment>
    <comment authorId="0" ref="K4">
      <text>
        <t xml:space="preserve">1. Kiểm tra Số HDDT == NULL mới cho phép cập nhật.
2. Mở Popup Danh sách HĐ chưa tặng quà, </t>
      </text>
    </comment>
    <comment authorId="0" ref="K5">
      <text>
        <t xml:space="preserve">Mở Popup Danh sách HĐ chưa tặng quà</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Lọc những Hóa đơn chưa được tặng quà: So sánh các Hóa đơn trên PMV so với các Số HĐ đã tặng quà trên PM Soạn dẻ.</t>
      </text>
    </comment>
    <comment authorId="0" ref="D7">
      <text>
        <t xml:space="preserve">1. Loại tặng quà = Hóa đơn: Mở Số HĐ phần mềm để quét hoặc nhập load thông tin Khách hàng, Số HDDT, Ngày HDDT.
2. Loại tặng quà = Khách hàng: Chỉ lấy thông tin Khách hàng.</t>
      </text>
    </comment>
    <comment authorId="0" ref="K8">
      <text>
        <t xml:space="preserve">Mở Popup Danh sách HĐ chưa tặng quà</t>
      </text>
    </comment>
    <comment authorId="0" ref="K9">
      <text>
        <t xml:space="preserve">Mở Popup Danh sách HĐ chưa tặng quà</t>
      </text>
    </comment>
    <comment authorId="0" ref="H31">
      <text>
        <t xml:space="preserve">1. Loại tặng quà = Hóa đơn: Mở Số HĐ phần mềm để quét hoặc nhập load thông tin Khách hàng, Số HDDT, Ngày HDDT.
2. Loại tặng quà = Khách hàng: Chỉ lấy thông tin Khách hàng.</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Lọc những Hóa đơn chưa được tặng quà: So sánh các Hóa đơn trên PMV so với các Số HĐ đã tặng quà trên PM Soạn dẻ.</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1. Loại tặng quà = Hóa đơn: Mở Số HĐ phần mềm để quét hoặc nhập load thông tin Khách hàng, Số HDDT, Ngày HDDT.
2. Loại tặng quà = Khách hàng: Chỉ lấy thông tin Khách hàng.</t>
      </text>
    </comment>
    <comment authorId="0" ref="G5">
      <text>
        <t xml:space="preserve">Cập nhật Số HDDT, Ngày HDDT trên Phiếu tặng quà và Refresh lại Danh sách Hóa đơn.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1. Loại tặng quà = Hóa đơn: Mở Số HĐ phần mềm để quét hoặc nhập load thông tin Khách hàng, Số HDDT, Ngày HDDT.
2. Loại tặng quà = Khách hàng: Chỉ lấy thông tin Khách hàng.</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Người liên hệ của NCC</t>
      </text>
    </comment>
    <comment authorId="0" ref="D10">
      <text>
        <t xml:space="preserve">Lấy Tổng Số tiền từ các Phiếu chi có gắn với Phiếu mua hàng. + Số tiền đặt cọc.</t>
      </text>
    </comment>
    <comment authorId="0" ref="G16">
      <text>
        <t xml:space="preserve">Ghi nhận từ các Phiếu giao nhận</t>
      </text>
    </comment>
    <comment authorId="0" ref="J16">
      <text>
        <t xml:space="preserve">theo Hàng hóa/Dịch vụ</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(từ Danh mục tài khoản thanh toán, filter theo Quầy thu ngân)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(từ Danh mục tài khoản thanh toán, filter theo Quầy thu ngân)</t>
      </text>
    </comment>
    <comment authorId="0" ref="E8">
      <text>
        <t xml:space="preserve">(Chi: Ghi nhận Chi phí theo Danh mục các khoản mục chi phí)</t>
      </text>
    </comment>
    <comment authorId="0" ref="F8">
      <text>
        <t xml:space="preserve">(Thu: Ghi nhận Doanh thu theo Danh mục các khoản mục doanh thu)</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Nếu chọn Trả =True thì lọc phiếu mượn
</t>
      </text>
    </comment>
    <comment authorId="0" ref="G8">
      <text>
        <t xml:space="preserve">(từ Danh mục tài khoản thanh toán, filter theo Quầy thu ngân)</t>
      </text>
    </comment>
    <comment authorId="0" ref="E10">
      <text>
        <t xml:space="preserve">(từ Danh mục tài khoản thanh toán, filter theo Quầy thu ngân)</t>
      </text>
    </comment>
    <comment authorId="0" ref="F16">
      <text>
        <t xml:space="preserve">Nếu chọn Trả =True thì lọc phiếu mượn
</t>
      </text>
    </comment>
    <comment authorId="0" ref="F25">
      <text>
        <t xml:space="preserve">Nếu chọn Trả =True thì lọc phiếu mượn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Nếu chọn Trả =True thì lọc phiếu mượn
</t>
      </text>
    </comment>
    <comment authorId="0" ref="I4">
      <text>
        <t xml:space="preserve">Phục vụ cho mục đích nếu xuất kho ghi lại giá vốn
</t>
      </text>
    </comment>
    <comment authorId="0" ref="E6">
      <text>
        <t xml:space="preserve">(từ Danh mục tài khoản thanh toán, filter theo Quầy thu ngân)</t>
      </text>
    </comment>
    <comment authorId="0" ref="E8">
      <text>
        <t xml:space="preserve">(từ Danh mục tài khoản thanh toán, filter theo Quầy thu ngân)</t>
      </text>
    </comment>
    <comment authorId="0" ref="I13">
      <text>
        <t xml:space="preserve">Phục vụ cho mục đích nếu xuất kho ghi lại giá vốn
</t>
      </text>
    </comment>
    <comment authorId="0" ref="J13">
      <text>
        <t xml:space="preserve">Phục vụ cho mục đích nếu xuất kho ghi lại giá vốn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Nếu chọn Trả =True thì lọc phiếu mượn
</t>
      </text>
    </comment>
    <comment authorId="0" ref="D6">
      <text>
        <t xml:space="preserve">(từ Danh mục tài khoản thanh toán, filter theo Quầy thu ngân)</t>
      </text>
    </comment>
    <comment authorId="0" ref="D8">
      <text>
        <t xml:space="preserve">(từ Danh mục tài khoản thanh toán, filter theo Quầy thu ngân)</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Nhân viên (Công nợ Tạm ứng) / Đối tác (Công nợ Phải trả/Chi trả).</t>
      </text>
    </comment>
    <comment authorId="0" ref="C8">
      <text>
        <t xml:space="preserve">- Nếu Nhân viên = True thì hiện DS nhân viên. 
- Nếu đối tác thì hiện danh sách đối tác
- Nếu nhận hộ thì ghi tên người nhận
</t>
      </text>
    </comment>
    <comment authorId="0" ref="D8">
      <text>
        <t xml:space="preserve">Chỉ áp cho nhân viên</t>
      </text>
    </comment>
    <comment authorId="0" ref="D14">
      <text>
        <t xml:space="preserve">Liên kết hồi ứng của nhân viên hoạc công nợ nhà cung cấp
</t>
      </text>
    </comment>
    <comment authorId="0" ref="J22">
      <text>
        <t xml:space="preserve">Liên kết công nợ nhân viên haowcj đối tác</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Nhân viên (Công nợ Tạm ứng) / Đối tác (Công nợ Phải trả/Chi trả).</t>
      </text>
    </comment>
    <comment authorId="0" ref="C10">
      <text>
        <t xml:space="preserve">- Nếu Nhân viên = True thì hiện DS nhân viên. 
- Nếu đối tác thì hiện danh sách đối tác
- Nếu nhận hộ thì ghi tên người nhận
</t>
      </text>
    </comment>
    <comment authorId="0" ref="D10">
      <text>
        <t xml:space="preserve">TRường này để tránh việc nợ quá lâu.
Chỉ áp cho nhân viên</t>
      </text>
    </comment>
    <comment authorId="0" ref="E16">
      <text>
        <t xml:space="preserve">Liên kết hồi ứng của nhân viên hoạc công nợ nhà cung cấp
</t>
      </text>
    </comment>
    <comment authorId="0" ref="J24">
      <text>
        <t xml:space="preserve">Liên kết công nợ nhân viên haowcj đối tác</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Khi được duyệt thì logic sẽ tự điềm giá trị này</t>
      </text>
    </comment>
    <comment authorId="0" ref="H5">
      <text>
        <t xml:space="preserve">TRường này để tránh việc nợ quá lâu.</t>
      </text>
    </comment>
    <comment authorId="0" ref="F8">
      <text>
        <t xml:space="preserve">Liên kết phiếu trả hàng
Phiếu trả hàng 1 phần/ toàn bộ
Nếu hàng hoá trả để sửa chữa thì nhập kho và trả sửa chữa bào hành 
</t>
      </text>
    </comment>
  </commentList>
</comments>
</file>

<file path=xl/sharedStrings.xml><?xml version="1.0" encoding="utf-8"?>
<sst xmlns="http://schemas.openxmlformats.org/spreadsheetml/2006/main" count="3155" uniqueCount="1309">
  <si>
    <t>DANH SÁCH CHỨC NĂNG - PHẦN MỀM QUẢN LÝ KHO</t>
  </si>
  <si>
    <t>STT</t>
  </si>
  <si>
    <t>Chức năng</t>
  </si>
  <si>
    <t>Diễn giải</t>
  </si>
  <si>
    <t>Người thực hiện</t>
  </si>
  <si>
    <t>Trạng thái DEV</t>
  </si>
  <si>
    <t>Ưu tiên</t>
  </si>
  <si>
    <t>Ghi chú</t>
  </si>
  <si>
    <t>Đăng nhập</t>
  </si>
  <si>
    <t>Hoàn thành</t>
  </si>
  <si>
    <t>Done</t>
  </si>
  <si>
    <t>Kết nối cơ sở dữ liệu</t>
  </si>
  <si>
    <t>Kết nối cân</t>
  </si>
  <si>
    <t>Thi, Vinh</t>
  </si>
  <si>
    <t>Chưa</t>
  </si>
  <si>
    <t>Cửa hàng</t>
  </si>
  <si>
    <t>Người dùng</t>
  </si>
  <si>
    <t>Nhóm người dùng</t>
  </si>
  <si>
    <t>Phân quyền</t>
  </si>
  <si>
    <t>Nhóm hàng</t>
  </si>
  <si>
    <t>Đơn vị tính</t>
  </si>
  <si>
    <t>Kho</t>
  </si>
  <si>
    <t>Loại giao dịch</t>
  </si>
  <si>
    <t>Loại vàng</t>
  </si>
  <si>
    <t>Loại vàng tách</t>
  </si>
  <si>
    <t>Thi</t>
  </si>
  <si>
    <t>Đối tác</t>
  </si>
  <si>
    <t>Hóa đơn</t>
  </si>
  <si>
    <t>Lấy thông tin từ DB PMV</t>
  </si>
  <si>
    <t>Chi tiết hóa đơn</t>
  </si>
  <si>
    <t>Kiểm dẻ</t>
  </si>
  <si>
    <t>Chi tiết kiểm dẻ</t>
  </si>
  <si>
    <t>Gộp chi tiết hóa đơn, Gộp liên hóa đơn</t>
  </si>
  <si>
    <t>Phân loại hàng</t>
  </si>
  <si>
    <t>Phiếu nhập kho</t>
  </si>
  <si>
    <t>https://docs.google.com/spreadsheets/d/1jljZd94q5hPs_VCUIFFelofH5LKgkAhLZL3cJTgx-xM/edit?gid=1344197067#gid=1344197067</t>
  </si>
  <si>
    <t>Trí</t>
  </si>
  <si>
    <t>Đang thực hiện</t>
  </si>
  <si>
    <r>
      <rPr>
        <rFont val="Times New Roman"/>
        <b/>
        <color rgb="FFFF0000"/>
      </rPr>
      <t xml:space="preserve">Điều chỉnh: trong Cột Ghi Chú
</t>
    </r>
    <r>
      <rPr>
        <rFont val="Times New Roman"/>
        <b/>
        <color rgb="FF38761D"/>
      </rPr>
      <t>1. Mục 4 Nhập liệu lưới Chi tiết phiếu nhập kho.</t>
    </r>
    <r>
      <rPr>
        <rFont val="Times New Roman"/>
        <b/>
        <color rgb="FFFF0000"/>
      </rPr>
      <t xml:space="preserve">
2. Mục 9 Duyệt Phiếu nhập kho(gọi )(call TINH_TONKHO)</t>
    </r>
  </si>
  <si>
    <t>Phiếu xuất kho</t>
  </si>
  <si>
    <t>https://docs.google.com/spreadsheets/d/1jljZd94q5hPs_VCUIFFelofH5LKgkAhLZL3cJTgx-xM/edit?gid=2048341757#gid=2048341757</t>
  </si>
  <si>
    <r>
      <rPr>
        <rFont val="Times New Roman"/>
        <b/>
        <color rgb="FFFF0000"/>
      </rPr>
      <t xml:space="preserve">Điều chỉnh:  trong Cột Ghi Chú
</t>
    </r>
    <r>
      <rPr>
        <rFont val="Times New Roman"/>
        <b/>
        <color rgb="FF38761D"/>
      </rPr>
      <t>1. Mục 4 Nhập liệu lưới Chi tiết phiếu xuất kho.</t>
    </r>
    <r>
      <rPr>
        <rFont val="Times New Roman"/>
        <b/>
        <color rgb="FFFF0000"/>
      </rPr>
      <t xml:space="preserve">
2. Mục 10 Duyệt Phiếu xuất kho</t>
    </r>
  </si>
  <si>
    <t>Chuyển kho</t>
  </si>
  <si>
    <t>https://docs.google.com/spreadsheets/d/1jljZd94q5hPs_VCUIFFelofH5LKgkAhLZL3cJTgx-xM/edit?gid=1481471413#gid=1481471413</t>
  </si>
  <si>
    <t>Điều chỉnh:  trong Cột Ghi Chú
1. Mục 4 Nhập liệu lưới Chi tiết phiếu chuyển kho.
2. Mục 10 Duyệt Phiếu chuyển kho</t>
  </si>
  <si>
    <t>Kiểm kê</t>
  </si>
  <si>
    <t>Quang</t>
  </si>
  <si>
    <t>Có sẵn cần điều chỉnh</t>
  </si>
  <si>
    <t>Báo cáo tồn kho</t>
  </si>
  <si>
    <t>https://docs.google.com/spreadsheets/d/1jljZd94q5hPs_VCUIFFelofH5LKgkAhLZL3cJTgx-xM/edit?gid=1370268362#gid=1370268362</t>
  </si>
  <si>
    <t>Có thay đổi so với yêu cầu ban đầu</t>
  </si>
  <si>
    <t>Báo cáo tồn kho tổng hợp</t>
  </si>
  <si>
    <t>Kiểm tồn</t>
  </si>
  <si>
    <t>Báo cáo kiểm kê</t>
  </si>
  <si>
    <t>Báo cáo &gt; Báo cáo kiểm kê</t>
  </si>
  <si>
    <t>Báo cáo chênh lệch Tiền/Vàng ( Tổng hợp)</t>
  </si>
  <si>
    <t>https://docs.google.com/spreadsheets/d/1jljZd94q5hPs_VCUIFFelofH5LKgkAhLZL3cJTgx-xM/edit?gid=645871979#gid=645871979</t>
  </si>
  <si>
    <t>Chưa có</t>
  </si>
  <si>
    <t>Báo cáo chênh lệch Tiền/Vàng (Chi tiết)</t>
  </si>
  <si>
    <t>Báo cáo thay đổi Loại vàng</t>
  </si>
  <si>
    <t>https://docs.google.com/spreadsheets/d/1jljZd94q5hPs_VCUIFFelofH5LKgkAhLZL3cJTgx-xM/edit?gid=519727173#gid=519727173</t>
  </si>
  <si>
    <t>Báo cáo Tổng tiền giao dịch trước khi kiểm</t>
  </si>
  <si>
    <t>https://docs.google.com/spreadsheets/d/1jljZd94q5hPs_VCUIFFelofH5LKgkAhLZL3cJTgx-xM/edit?gid=130783177#gid=130783177</t>
  </si>
  <si>
    <t>Báo cáo Tổng tiền giao dịch sau khi kiểm</t>
  </si>
  <si>
    <t>https://docs.google.com/spreadsheets/d/1jljZd94q5hPs_VCUIFFelofH5LKgkAhLZL3cJTgx-xM/edit?gid=1416312860#gid=1416312860</t>
  </si>
  <si>
    <t>Báo cáo Trọng lượng theo Loại vàng</t>
  </si>
  <si>
    <t>https://docs.google.com/spreadsheets/d/1jljZd94q5hPs_VCUIFFelofH5LKgkAhLZL3cJTgx-xM/edit?gid=1295830066#gid=1295830066</t>
  </si>
  <si>
    <t>Báo cáo thống kê hóa đơn kiểm dẻ</t>
  </si>
  <si>
    <r>
      <rPr>
        <rFont val="Times New Roman"/>
      </rPr>
      <t xml:space="preserve">Thống kê số lượng hóa đơn đã kiểm/Tổng hóa đơn.
</t>
    </r>
    <r>
      <rPr>
        <rFont val="Times New Roman"/>
        <color rgb="FF1155CC"/>
        <u/>
      </rPr>
      <t>https://docs.google.com/spreadsheets/d/1jljZd94q5hPs_VCUIFFelofH5LKgkAhLZL3cJTgx-xM/edit?gid=841969480#gid=841969480</t>
    </r>
  </si>
  <si>
    <t>Báo cáo thống kê tiền bớt</t>
  </si>
  <si>
    <r>
      <rPr>
        <rFont val="Times New Roman"/>
      </rPr>
      <t xml:space="preserve">Báo cáo thống kê tiền bớt (lấy tất cả các giao dịch của PMV có Tiền bớt &lt;&gt; 0) - Viết Store lấy Data </t>
    </r>
    <r>
      <rPr>
        <rFont val="Times New Roman"/>
        <b/>
        <color rgb="FFFF0000"/>
      </rPr>
      <t>(Done)</t>
    </r>
    <r>
      <rPr>
        <rFont val="Times New Roman"/>
      </rPr>
      <t xml:space="preserve">
Link task: </t>
    </r>
    <r>
      <rPr>
        <rFont val="Times New Roman"/>
        <color rgb="FF1155CC"/>
        <u/>
      </rPr>
      <t>https://docs.google.com/spreadsheets/d/1jljZd94q5hPs_VCUIFFelofH5LKgkAhLZL3cJTgx-xM/edit?gid=387628385#gid=387628385</t>
    </r>
  </si>
  <si>
    <t>Báo cáo trừ điểm tích lũy</t>
  </si>
  <si>
    <r>
      <rPr>
        <rFont val="Times New Roman"/>
      </rPr>
      <t xml:space="preserve">Báo cáo thống kê trừ điểm tích lũy (lấy tất cả các giao dịch của PMV có Điểm tích lũy &lt;&gt; 0) - Viết Store lấy Data </t>
    </r>
    <r>
      <rPr>
        <rFont val="Times New Roman"/>
        <b/>
        <color rgb="FFFF0000"/>
      </rPr>
      <t>(Done)</t>
    </r>
    <r>
      <rPr>
        <rFont val="Times New Roman"/>
      </rPr>
      <t xml:space="preserve">
Link task: </t>
    </r>
    <r>
      <rPr>
        <rFont val="Times New Roman"/>
        <color rgb="FF1155CC"/>
        <u/>
      </rPr>
      <t>https://docs.google.com/spreadsheets/d/1jljZd94q5hPs_VCUIFFelofH5LKgkAhLZL3cJTgx-xM/edit?gid=1822180059#gid=1822180059</t>
    </r>
  </si>
  <si>
    <t>Báo cáo phân loại hàng (có điều chỉnh thêm phần lấy ra và còn lại)</t>
  </si>
  <si>
    <t>https://docs.google.com/spreadsheets/d/1jljZd94q5hPs_VCUIFFelofH5LKgkAhLZL3cJTgx-xM/edit?gid=2059345543#gid=2059345543</t>
  </si>
  <si>
    <t>Báo cáo Vàng lấy ra</t>
  </si>
  <si>
    <t>Thống kê Vàng lấy ra theo Hóa đơn</t>
  </si>
  <si>
    <t>Vinh</t>
  </si>
  <si>
    <t>Báo cáo trừ điểm tích lũy - Chi tiết</t>
  </si>
  <si>
    <t>https://docs.google.com/spreadsheets/d/1jljZd94q5hPs_VCUIFFelofH5LKgkAhLZL3cJTgx-xM/edit?gid=2093211190#gid=2093211190</t>
  </si>
  <si>
    <t>Kiểm kê hóa đơn</t>
  </si>
  <si>
    <t>Nhóm vàng kiểm dẻ</t>
  </si>
  <si>
    <t>Cấu hình chức năng để phần Kiểm dẻ và Báo cáo thay đổi loại vàng</t>
  </si>
  <si>
    <t>Lấy dữ liệu giao dịch</t>
  </si>
  <si>
    <t>Tính doanh thu</t>
  </si>
  <si>
    <t>Xóa hóa đơn</t>
  </si>
  <si>
    <t>Phân loại hàng: Nút tạo Phiếu nhập kho</t>
  </si>
  <si>
    <t>https://docs.google.com/spreadsheets/d/1jljZd94q5hPs_VCUIFFelofH5LKgkAhLZL3cJTgx-xM/edit?gid=1171169880#gid=1171169880</t>
  </si>
  <si>
    <t>Mới</t>
  </si>
  <si>
    <t>Điều chỉnh:  trong Cột Ghi Chú
1. Mục 1 Tạo phiếu nhập kho</t>
  </si>
  <si>
    <t>Dashboard</t>
  </si>
  <si>
    <t>BẢNG THEO DÕI ISSUE LIST</t>
  </si>
  <si>
    <t>Form</t>
  </si>
  <si>
    <t>Mô tả bug</t>
  </si>
  <si>
    <t>Link Task</t>
  </si>
  <si>
    <t>Trạng thái TEST</t>
  </si>
  <si>
    <t>Nút tạo Phiếu nhập kho</t>
  </si>
  <si>
    <t xml:space="preserve">Khi tạo Phiếu nhập kho:
- Chưa lấy Đơn giá, Thành tiền từ Phân loại hàng sang Chi tiết phiếu nhập kho </t>
  </si>
  <si>
    <t>Kiểm kê kho</t>
  </si>
  <si>
    <t>Áp tồn</t>
  </si>
  <si>
    <t>DANH SÁCH PHÂN QUYỀN</t>
  </si>
  <si>
    <t>Tên Role</t>
  </si>
  <si>
    <t>Tên màn hình</t>
  </si>
  <si>
    <t>NHAPHANG</t>
  </si>
  <si>
    <t>DUYETNHAPHANG</t>
  </si>
  <si>
    <t>KIEMDE</t>
  </si>
  <si>
    <t>KIEMKE</t>
  </si>
  <si>
    <t>BAOCAOKIEMDE</t>
  </si>
  <si>
    <t>In mã vạch/qr code</t>
  </si>
  <si>
    <t>Gộp dẻ</t>
  </si>
  <si>
    <t>Tách dẻ</t>
  </si>
  <si>
    <t>Phân nhóm sản phẩm</t>
  </si>
  <si>
    <t>Báo cáo phân loại hàng</t>
  </si>
  <si>
    <t>DASHBOARD</t>
  </si>
  <si>
    <t>Từ ngày</t>
  </si>
  <si>
    <t>Đến ngày</t>
  </si>
  <si>
    <t>1. Số lượng hóa đơn đã kiểm/ Tổng số hóa đơn.</t>
  </si>
  <si>
    <t>2. Số lượng hóa đơn đã quét/Tổng số hóa đơn.</t>
  </si>
  <si>
    <t>3. Số lượng hóa đơn thay đổi Loại vàng</t>
  </si>
  <si>
    <t xml:space="preserve">{x}/{y}
Column Chart theo Ngày giao dịch và theo Cửa hàng
</t>
  </si>
  <si>
    <t xml:space="preserve">{x}/{y}
Column Chart theo Ngày giao dịch  và theo Cửa hàng
</t>
  </si>
  <si>
    <t>{x}
Gridview hóa đơn thay đổi Loại vàng theo Ngày giao dịch  và theo Cửa hàng</t>
  </si>
  <si>
    <t>4. Số lượng hóa đơn chênh lệch tiền/vàng</t>
  </si>
  <si>
    <t>5. Tổng số tiền bớt/Tổng Số tiền giao khách</t>
  </si>
  <si>
    <t>6. Trọng lượng chênh lệch trước kiểm và sau kiểm theo Loại vàng</t>
  </si>
  <si>
    <t>{x}
Gridview danh sách hóa đơn chênh lệch tiền/vàng theo Ngày giao dịch và theo Cửa hàng</t>
  </si>
  <si>
    <t>{x}/{y}
Bar Chart theo Ngày giao dịch  và theo Cửa hàng</t>
  </si>
  <si>
    <t>Bar Chart theo Loại vàng, Ngày giao dịch, Cửa hàng</t>
  </si>
  <si>
    <t>]</t>
  </si>
  <si>
    <t>CHỨC NĂNG</t>
  </si>
  <si>
    <t>Chức năng/ Button</t>
  </si>
  <si>
    <t>Nội dung</t>
  </si>
  <si>
    <t>Thông tin Chung</t>
  </si>
  <si>
    <t>Onload</t>
  </si>
  <si>
    <t>1. Cửa hàng: Load mặc định theo user
2. Từ ngày &lt;=  Đến ngày
3. Từ ngày  = Today - 1
4. Đến ngày = Today
5. Load data của các chart theo Từ ngày, Đến ngày.</t>
  </si>
  <si>
    <t>OnChange</t>
  </si>
  <si>
    <t>1. Onchange Cửa hàng, Từ ngày, Đến ngày:
- Reload lại data của các Chart, Gridview từ 1 đến 6 theo Điều kiện lọc.</t>
  </si>
  <si>
    <t>1. {x}/{y}:
- Thống kê Số lượng Hóa đơn (InvoiceCheck) có Trạng thái (CheckStatus) = 2 (Đã kiểm) / Tổng số hóa đơn group theo Cửa hàng và Ngày giao dịch. Lưu ý: Nếu Cửa hàng để trống thì bỏ qua điều kiện lọc này để lấy all cửa hàng.
2. Chart:
- Thể hiện dữ liệu theo điều kiện lọc: Cửa hàng, Ngày giao dịch.
- Dữ liệu trên chart sẽ hiển thị theo từng Ngày giao dịch</t>
  </si>
  <si>
    <t>1. {x}/{y}:
- Thống kê Số lượng Hóa đơn (InvoiceCheck) có Trạng thái kiểm kê (InspectionStatus) = 1 / Tổng số hóa đơn group theo Cửa hàng và Ngày giao dịch. Lưu ý: Nếu Cửa hàng để trống thì bỏ qua điều kiện lọc này để lấy all cửa hàng.
2. Chart:
- Thể hiện dữ liệu theo điều kiện lọc: Cửa hàng, Ngày giao dịch.
- Dữ liệu trên chart sẽ hiển thị theo từng Ngày giao dịch</t>
  </si>
  <si>
    <r>
      <rPr>
        <rFont val="Calibri"/>
        <color theme="1"/>
        <sz val="11.0"/>
      </rPr>
      <t xml:space="preserve">1. {x}:
- Thống kê Số lượng Hóa đơn (InvoiceCheck) có thay đổi Loại vàng group theo Cửa hàng và Ngày giao dịch. Lưu ý: Nếu Cửa hàng để trống thì bỏ qua điều kiện lọc này để lấy all cửa hàng.
2. Grid:
- Thể hiện danh sách Hóa đơn có thay đổi Loại vàng theo điều kiện lọc: Cửa hàng, Ngày giao dịch.
</t>
    </r>
    <r>
      <rPr>
        <rFont val="Calibri"/>
        <color rgb="FFFF0000"/>
        <sz val="11.0"/>
      </rPr>
      <t>THAM KHẢO: BÁO CÁO THAY ĐỔI LOẠI VÀNG</t>
    </r>
  </si>
  <si>
    <r>
      <rPr>
        <rFont val="Calibri"/>
        <color theme="1"/>
        <sz val="11.0"/>
      </rPr>
      <t xml:space="preserve">1. {x}:
- Thống kê Số lượng Hóa đơn (InvoiceCheck) có có chênh lệch tiền/vàng group theo Cửa hàng và Ngày giao dịch. Lưu ý: Nếu Cửa hàng để trống thì bỏ qua điều kiện lọc này để lấy all cửa hàng.
2. Grid:
- Thể hiện danh sách Hóa đơn có chênh lệch tiền/vàng theo điều kiện lọc: Cửa hàng, Ngày giao dịch.
</t>
    </r>
    <r>
      <rPr>
        <rFont val="Calibri"/>
        <color rgb="FFFF0000"/>
        <sz val="11.0"/>
      </rPr>
      <t>THAM KHẢO: BÁO CÁO CHÊNH LỆCH TIỀN VÀNG</t>
    </r>
  </si>
  <si>
    <t xml:space="preserve">5. Tổng số tiền bớt/Tổng Số tiền giao khách </t>
  </si>
  <si>
    <t>1. Thống kê tổng Số tiền đặt cọc của các Phiếu đặt hàng có Trạng thái = Đã giao khách từ DB của PMV.
2. Tổng số tiền bớt trên các Hóa đơn (InvoiCheck).</t>
  </si>
  <si>
    <t>Làm sau khi mô tả chi tiết và Store procedure lấy dữ liệu Số tiền đặt cọc của các Phiếu đặt hàng.</t>
  </si>
  <si>
    <r>
      <rPr>
        <rFont val="Calibri"/>
        <color theme="1"/>
        <sz val="11.0"/>
      </rPr>
      <t xml:space="preserve">1. Tính trọng lượng trước kiếm theo </t>
    </r>
    <r>
      <rPr>
        <rFont val="Calibri"/>
        <color rgb="FFFF0000"/>
        <sz val="11.0"/>
      </rPr>
      <t>Báo cáo TL theo Loại vàng trước kiểm</t>
    </r>
    <r>
      <rPr>
        <rFont val="Calibri"/>
        <color theme="1"/>
        <sz val="11.0"/>
      </rPr>
      <t xml:space="preserve"> và </t>
    </r>
    <r>
      <rPr>
        <rFont val="Calibri"/>
        <color rgb="FFFF0000"/>
        <sz val="11.0"/>
      </rPr>
      <t>gom nhóm theo table Loại vàng gộp</t>
    </r>
    <r>
      <rPr>
        <rFont val="Calibri"/>
        <color theme="1"/>
        <sz val="11.0"/>
      </rPr>
      <t xml:space="preserve"> để gom về 1 Loại vàng chính.
2. Tính trọng lượng sau kiểm theo </t>
    </r>
    <r>
      <rPr>
        <rFont val="Calibri"/>
        <color rgb="FFFF0000"/>
        <sz val="11.0"/>
      </rPr>
      <t>Báo cáo TL theo Loại vàng sau kiểm.</t>
    </r>
    <r>
      <rPr>
        <rFont val="Calibri"/>
        <color theme="1"/>
        <sz val="11.0"/>
      </rPr>
      <t xml:space="preserve">
3. Thể hiện dữ liệu theo Loại vàng thành 2 cột: Trước, Sau như Chart minh họa</t>
    </r>
  </si>
  <si>
    <t>DANH SÁCH BÁO CÁO</t>
  </si>
  <si>
    <t>Nhóm báo cáo</t>
  </si>
  <si>
    <t>Tên báo cáo</t>
  </si>
  <si>
    <t>Trạng thái</t>
  </si>
  <si>
    <t>KIỂM DẺ</t>
  </si>
  <si>
    <t>Sau kiểm kê</t>
  </si>
  <si>
    <t>Báo cáo chênh lệch trọng lượng - thành tiền</t>
  </si>
  <si>
    <t>Theo dõi chênh lệch về trọng lượng, thành tiền</t>
  </si>
  <si>
    <t>Báo cáo chênh lệch Tiền - Vàng
Bảng InvoiceCheck &amp; InvoiceCheckDetail
- Điều kiện: Query data check Cột Lệch vàng, Lệch tiền &lt;&gt; 0.
- Định nghĩa báo cáo về các cột Thông tin: Số hóa đơn, Ngày giao dịch, Nhân viên giao dịch, Nhân viên kiểm dẻ, Loại vàng, TL tổng, TL hột, TL vàng, Thành tiền (Lệch)</t>
  </si>
  <si>
    <t>Thay đổi Loại vàng so với Loại vàng trong giao dịch, tô đỏ nếu có thay đổi</t>
  </si>
  <si>
    <t xml:space="preserve"> Báo cáo thay đổi Loại vàng.</t>
  </si>
  <si>
    <t>Báo cáo Thống kê trọng lượng theo Loại vàng</t>
  </si>
  <si>
    <t>Thống kê trọng lượng vàng giao dịch theo Loại vàng (sau kiểm): Cửa hàng, Từ ngày, Đến ngày, Loại vàng</t>
  </si>
  <si>
    <t>Báo cáo Phân loại hàng theo Loại vàng (trước nhập kho)</t>
  </si>
  <si>
    <t>Báo cáo thành tiền giao dịch Loại vàng (2 báo cáo: Báo cáo chi tiết, Báo cáo tổng hợp)</t>
  </si>
  <si>
    <r>
      <rPr>
        <rFont val="Arial"/>
        <color theme="1"/>
      </rPr>
      <t xml:space="preserve">Thống kê Thành tiền mua dẻ trong các giao dịch Mua bán, Đổi bù, Mua dẻ (tính ra được Đơn giá trung bình): Cửa hàng, Loại vàng, Từ ngày, Đến ngày, Loại giao dịch (Mua bán, Đổi bù, Mua dẻ)
</t>
    </r>
    <r>
      <rPr>
        <rFont val="Arial"/>
        <strike/>
        <color theme="1"/>
      </rPr>
      <t>- Cột Đơn giá trung bình của Loại vàng đ/chỉ (dòng cuối cùng group by theo Mã Loại vàng), Lấy Thành tiền của trước kiểm kê/Trọng lượng thực tế sau kiểm</t>
    </r>
  </si>
  <si>
    <t>Báo cáo Tổng tiền giao dịch sau khi kiểm. (tiền thực chi)
- Tiêu chí: Cửa hàng, Loại giao dịch, Từ ngày, Đến ngày</t>
  </si>
  <si>
    <t>Báo cáo chi tiết</t>
  </si>
  <si>
    <t>Báo cáo trọng lượng theo Nhóm hàng</t>
  </si>
  <si>
    <t>Thống kê Trọng lượng vàng theo Loại vàng -&gt; Nhóm hàng</t>
  </si>
  <si>
    <t>Sau khi làm phần nhập xuất</t>
  </si>
  <si>
    <t>Trọng lượng</t>
  </si>
  <si>
    <t>Đơn giá</t>
  </si>
  <si>
    <t>Thành tiền</t>
  </si>
  <si>
    <t>18k</t>
  </si>
  <si>
    <t>Trước kiểm kê</t>
  </si>
  <si>
    <t>Thống kê các giao dịch có Tiền bớt:
- Loại giao dịch, Số hóa đơn, Khách hàng, Ngày giao dịch, Nhân viên bán hàng, Số tiền bớt</t>
  </si>
  <si>
    <t>Báo cáo thống kê tiền bớt (lấy tất cả các giao dịch của PMV có Tiền bớt &lt;&gt; 0)</t>
  </si>
  <si>
    <t xml:space="preserve">Thống kê các giao dịch có Điểm tích lũy &lt;&gt; 0: 
- Loại giao dịch, Số hóa đơn, Ngày giao dịch, Nhân viên bán hàng, Khách hàng, Số điểm trừ tích lũy </t>
  </si>
  <si>
    <t>Báo cáo thống kê trừ điểm tích lũy (lấy tất cả các giao dịch của PMV có Điểm tích lũy &lt;&gt; 0)</t>
  </si>
  <si>
    <t>Thống kê trọng lượng vàng giao dịch theo Loại vàng (trước kiểm): Cửa hàng, Từ ngày, Đến ngày, Loại vàng</t>
  </si>
  <si>
    <t>Báo cáo Thống kê trọng lượng theo Loại vàng (liệt kê danh sách các Loại vàng, TL vàng trước khi kiểm)</t>
  </si>
  <si>
    <t>Thống kê Thành tiền mua dẻ trong các giao dịch Mua bán, Đổi bù, Mua dẻ (tính ra được Đơn giá trung bình): Cửa hàng, Loại vàng, Từ ngày, Đến ngày, Loại giao dịch (Mua bán, Đổi bù, Mua dẻ)
- Cột Đơn giá trung bình của Loại vàng đ/chỉ (dòng cuối cùng group by theo Mã Loại vàng)</t>
  </si>
  <si>
    <t>Báo cáo Tổng tiền giao dịch trước khi kiểm. (tiền thực chi)
- Tiêu chí: Cửa hàng, Loại giao dịch, Từ ngày, Đến ngày</t>
  </si>
  <si>
    <t>24k</t>
  </si>
  <si>
    <t>Tổng hợp trước - sau</t>
  </si>
  <si>
    <t>Merge</t>
  </si>
  <si>
    <t>Phần ý kiến bổ sung báo cáo</t>
  </si>
  <si>
    <t>Báo cáo tổng hợp</t>
  </si>
  <si>
    <t>KHO</t>
  </si>
  <si>
    <t>Báo cáo nhập kho theo Loại vàng</t>
  </si>
  <si>
    <t>Đã có (điều chỉnh)</t>
  </si>
  <si>
    <t>Báo cáo xuất kho theo Loại vàng</t>
  </si>
  <si>
    <t>Báo cáo xuất kho theo Nhóm hàng</t>
  </si>
  <si>
    <t>Báo cáo lịch sử chuyển kho</t>
  </si>
  <si>
    <t>Chuyển nội bộ giữa các Kho trong Cửa hàng.
Chuyển Kho liên Cửa hàng</t>
  </si>
  <si>
    <t>Gộp lại thành 1 form</t>
  </si>
  <si>
    <t>Báo cáo tồn theo Cửa hàng</t>
  </si>
  <si>
    <t>Thống kê tồn kho theo Cửa hàng, Đến ngày</t>
  </si>
  <si>
    <t>Báo cáo tồn theo Kho</t>
  </si>
  <si>
    <t>Thống kê tồn kho theo Cửa hàng, Kho, Đến ngày</t>
  </si>
  <si>
    <t>Báo cáo tồn Loại vàng</t>
  </si>
  <si>
    <t>Báo cáo tồn kho theo Nhóm hàng</t>
  </si>
  <si>
    <t>Thống kê tồn kho theo Cửa hàng, Nhóm hàng, Đến ngày</t>
  </si>
  <si>
    <t>Báo cáo Nhập hàng</t>
  </si>
  <si>
    <t>Nhập hàng theo đối tác</t>
  </si>
  <si>
    <t>Bỏ</t>
  </si>
  <si>
    <t>Nhập hàng theo nhóm hàng</t>
  </si>
  <si>
    <t>Nhập hàng tổng hợp</t>
  </si>
  <si>
    <t>Nhập hàng chi tiết mặt hàng =&gt; Nhập hàng theo loại vàng</t>
  </si>
  <si>
    <t>Báo cáo xuất hàng</t>
  </si>
  <si>
    <t>Bán hàng theo đối tác</t>
  </si>
  <si>
    <t>Bán hàng theo nhóm hàng =&gt; Xuất hàng theo nhóm hàng</t>
  </si>
  <si>
    <t>Bán hàng tổng hợp</t>
  </si>
  <si>
    <t>Bán hàng chi tiết mặt hàng =&gt; Xuất hàng theo loại vàng</t>
  </si>
  <si>
    <t>Nhân viên</t>
  </si>
  <si>
    <t>Sau kiểm dẻ</t>
  </si>
  <si>
    <t>Theo Tình trạng, Loại vàng</t>
  </si>
  <si>
    <t>NV-BC Phân loại hàng theo Loại vàng</t>
  </si>
  <si>
    <t>Quản lý</t>
  </si>
  <si>
    <t>Chênh lệch về TL vàng ( để xem Nhân viên định giá có sai số nhiều hay không)</t>
  </si>
  <si>
    <t>Báo cáo chênh lệch Tiền - Vàng</t>
  </si>
  <si>
    <t>Chênh lệch về Tiền (để ước lượng chính xác hơn về sai số dựa theo Trọng lượng)</t>
  </si>
  <si>
    <t>Thay đổi Loại vàng (so sánh sự thay đổi về Loại vàng xem có cùng tính chất hay không)</t>
  </si>
  <si>
    <t>FORM KIỂM DẺ</t>
  </si>
  <si>
    <t>DANH SÁCH</t>
  </si>
  <si>
    <t>CHI TIẾT</t>
  </si>
  <si>
    <t>TABLE</t>
  </si>
  <si>
    <t xml:space="preserve">Tên bảng: </t>
  </si>
  <si>
    <t>Tên cột</t>
  </si>
  <si>
    <t>Kiểu dữ liệu</t>
  </si>
  <si>
    <r>
      <rPr>
        <rFont val="Calibri"/>
        <b/>
        <color theme="1"/>
        <sz val="11.0"/>
      </rPr>
      <t>1. Group Thông tin kiểm dẻ</t>
    </r>
    <r>
      <rPr>
        <rFont val="Calibri"/>
        <color theme="1"/>
        <sz val="11.0"/>
      </rPr>
      <t xml:space="preserve">
- TL tổng: kết nối cân
- TL vàng = TL tổng - TL hột
- TL chênh lệch = TL vàng (ở group Thông tin chi tiết) - TL vàng
- Đơn giá = Đơn giá (ở group Thông tin chi tiết) 
- Thành tiền CL = TL chênh lệch * Đơn giá
</t>
    </r>
    <r>
      <rPr>
        <rFont val="Calibri"/>
        <b/>
        <color theme="1"/>
        <sz val="11.0"/>
      </rPr>
      <t xml:space="preserve">2. Group Thông tin hóa đơn
</t>
    </r>
    <r>
      <rPr>
        <rFont val="Calibri"/>
        <color theme="1"/>
        <sz val="11.0"/>
      </rPr>
      <t xml:space="preserve">- Lấy thông tin từ bảng InvoiceCheck
</t>
    </r>
    <r>
      <rPr>
        <rFont val="Calibri"/>
        <b/>
        <color theme="1"/>
        <sz val="11.0"/>
      </rPr>
      <t xml:space="preserve">3. Group Thông tin chi tiết
</t>
    </r>
    <r>
      <rPr>
        <rFont val="Calibri"/>
        <color theme="1"/>
        <sz val="11.0"/>
      </rPr>
      <t>- Lấy thông tin từ dòng của Gridview Chi tiết (gvChiTiet)</t>
    </r>
  </si>
  <si>
    <t>1. Loại hàng: Enum gồm Hàng nguyên, Hàng hư
2. Nhóm hàng: lấy danh sách ProductGroup
3. Loại vàng: Load Product.Status == True &amp;&amp; Product.MainProductId == Null
4. Checkbox Tiệm và Lạ: load Product.IsCombination theo Loại vàng đã chọn: Nếu Product.IsCombination = True set Checked, ngược lại set Unchecked</t>
  </si>
  <si>
    <t>Checkbox Đã lấy ra</t>
  </si>
  <si>
    <t>1. Khi checked:
Tự động gán giá trị các ô của Group Thông tin kiểm dẻ:
- Loại vàng, TL hột, TL tổng, TL vàng ở = Loại vàng, TL hột, TL tổng, TL vàng (ở Group Thông tin chi tiết)
2. UnChecked:
- Reset thông tin Loại vàng, TL hột, TL tổng, TL vàng (ở Group Thông tin kiểm dẻ)</t>
  </si>
  <si>
    <t>Gridview Chi tiết (gvChiTiet)</t>
  </si>
  <si>
    <t>1. ContextMenuStrip nút Gộp dòng:
- Khi chọn nhiều Row của Grid và nhấn nút thực hiện: Hiển thị thông báo "Xác nhận gộp các dòng dữ liệu đã chọn?".
a. Yes: 
- Gán thông tin ở Group Thông tin chi tiết:
   + Lấy Sum TL tổng , TL hột, TL vàng, Tiền công hồi, Thành tiền của các Row đã chọn gán vào ô TL tổng , TL hột, TL vàng, Tiền công hồi, Thành tiền
   + Loại vàng = Row đang selected.Loại vàng
   + Đơn giá = Row đang selected.Đơn giá
- Update cột Đã gộp và Đã kiểm ở các dòng đã chọn: IsMergeDetails = true, CheckStatus = true
b. No: Quay về lại form</t>
  </si>
  <si>
    <t>Checkbox Đã kiểm</t>
  </si>
  <si>
    <t xml:space="preserve">1. Khi nhấn vào Checkbox: 
- Kiểm tra thông tin các ô Loại vàng, Số lượng, TL hột, TL tổng, TL vàng bắt buộc phải có dữ liệu.
- Update thông tin vào Selected Row các thông tin cột: Loại vàng (kk), Số lượng, TL tổng (kk), TL hột (kk), TK vàng (kk), T.Lượng CL, T.Tiền CL, Đã kiểm = True
2. </t>
  </si>
  <si>
    <t>1. Nhấn nút:
- Lấy danh sách các Hóa đơn đã lọc theo Cửa hàng, Từ ngày, Đến ngày.</t>
  </si>
  <si>
    <t>Lưu</t>
  </si>
  <si>
    <t xml:space="preserve">1. Khi nhấn Lưu:
a. </t>
  </si>
  <si>
    <t>Hoàn tất</t>
  </si>
  <si>
    <t>Cập nhật Trạng thái = Đã kiểm, Nếu còn tồn tại Chi tiết hóa đơn chưa tạo Phân loại hàng hiển thị thông báo!</t>
  </si>
  <si>
    <t>Bỏ qua</t>
  </si>
  <si>
    <t>Kiểm lại</t>
  </si>
  <si>
    <t>Xóa toàn bộ Phân loại hàng, Reset lại tất cả các Chi tiết hóa đơn</t>
  </si>
  <si>
    <t>Đóng</t>
  </si>
  <si>
    <t>In</t>
  </si>
  <si>
    <t>Gộp dòng</t>
  </si>
  <si>
    <t>Gộp các Chi tiết hóa đơn theo Loại vàng config trong Bảng Loại vàng gộp</t>
  </si>
  <si>
    <t>Gộp liên hóa đơn</t>
  </si>
  <si>
    <t>Mở form mới Quét Mã hóa đơn và chọn Chi tiết hóa đơn để gộp. Xét điều kiện giống với Gộp dòng.</t>
  </si>
  <si>
    <t>Note Task điều chỉnh</t>
  </si>
  <si>
    <t>23/02/2025
Form Kiểm dẻ:
1. Ẩn hiện các nút Lưu, Hoàn tất, Kiểm lại:
- Trạng thái = Chưa kiểm: ẩn hết các nút 
- Trạng thái = Đang kiểm: hiển thị tất cả các nút.
- Trạng thái = Đã kiểm: hiển thị Kiểm lại
2. Nút Đóng:
- Mở tab Danh sách + Refresh grid.
3. Grid Chi tiết hóa đơn:
- Trạng thái hóa đơn = Đã kiểm thì Khóa grid không cho sửa.
- Khi nhấn Kiểm lại mới cho phép sửa.
4. Nút gộp dòng chạy chưa đúng theo cấu hình trong bảng Loại vàng gộp.
5. Gộp dòng xong nhấn Kiểm lại báo hóa đơn chưa được kiểm không cho rollback lại.
6. Loại vàng kiểm kê: lấy theo Product.Type = D (Chỉ lấy Loại vàng là Dẻ).
Form Đăng nhập
1. Nút Đóng trên form Login đang báo lỗi.</t>
  </si>
  <si>
    <t>I. Quy trình kiểm dẻ</t>
  </si>
  <si>
    <t>II. Quy trình quản lýNhóm hàng</t>
  </si>
  <si>
    <t>DANH SÁCH MÀN HÌNH</t>
  </si>
  <si>
    <t>Tên bảng</t>
  </si>
  <si>
    <t>Chi tiết kiểm kê</t>
  </si>
  <si>
    <t>Tồn kho</t>
  </si>
  <si>
    <t>FORM ĐĂNG NHẬP</t>
  </si>
  <si>
    <t>1. Khi nhấn Đăng nhập: 
- Kiểm tra thông tin Username, Password: 
+ Nếu không tồn tại trên hệ thống hiển thị thông báo "Sai tên đăng nhập hoặc mật khẩu, vui lòng kiểm tra lại!"
+ Ngược lại: Nếu thông tin Username và Password tồn tại trên hệ thống, khi nhấn Đăng nhập mở Màn hình chính của phần mềm.</t>
  </si>
  <si>
    <t>Thoát</t>
  </si>
  <si>
    <t>1. Ẩn/Hiện:
- Luôn hiện
2. Nhấn nút Thoát:
- Đóng form Đăng nhập</t>
  </si>
  <si>
    <t>Mã hóa password</t>
  </si>
  <si>
    <t>FORM Nhóm hàng</t>
  </si>
  <si>
    <t>1. Thông tin chung:
- Mã loại: 4 ký tự</t>
  </si>
  <si>
    <t>Thêm</t>
  </si>
  <si>
    <t>1. Ẩn/Hiện nút: 
- Hiện khi Load hoặc khi người dùng nhấn nút Hủy.
- Ẩn khi Người dùng nhấn nút Sửa.
2. Nhấn nút Thêm:
- Enable các field Mã Nhóm hàng, Tên Nhóm hàng, Tuổi vàng, Hoạt động = Checked cho phép người dùng nhập liệu.</t>
  </si>
  <si>
    <t>Sửa</t>
  </si>
  <si>
    <t>1. Ẩn/Hiện nút: 
- Hiện khi Load hoặc khi người dùng nhấn nút Hủy.
- Ẩn khi Người dùng nhấn nút Sửa. 
2. Nhấn nút Sửa:
- Nếu chưa chọnNhóm hàng: hiển thị thông báo "Vui lòng chọnNhóm hàng để chỉnh sửa!". Ngược lại: Hiển thị thông tinNhóm hàng đang chọn và Enable các field Mã Nhóm hàng, Tên Nhóm hàng, Trạng thái cho Người dùng chỉnh sửa.</t>
  </si>
  <si>
    <t>Xóa</t>
  </si>
  <si>
    <t>1. Nhấn nút Xóa:
- Nếu chưa chọnNhóm hàng: hiển thị thông báo "Vui lòng chọnNhóm hàng để xóa!". 
- Ngược lại: Hiển thị thông báo "Bạn muốn xóaNhóm hàng này?". 
 + OK: Cập nhật field Trạng thái = False, hiện thông báo "Thành công!" và refresh lại grid Danh sáchNhóm hàng.
 + Cancel: Quay trở lại formNhóm hàng.</t>
  </si>
  <si>
    <t>1. Ẩn/Hiện:
- Ẩn khi Người dùng mở form.
- Hiện khi người dùng đã nhấn nút Thêm hoặc Sửa.
2. Nhấn nút Lưu:
- Kiểm tra thông tin nhập liệu về Mã Nhóm hàng, Tên Nhóm hàng: Nếu chưa có dữ liệu hiện thông báo "Bạn chưa điền đủ thông tin. Vui lòng kiểm tra lại." và không cho phép lưu dữ liệu. Ngược lại, thực hiện bước tiếp theo:
a. Nếu Thêm mới:
+ Kiểm tra Mã Nhóm hàng trước khi lưu thông tin: Nếu đã tồn tại Mã Nhóm hàng hiện thông báo "Đã tồn tại Mã Nhóm hàng. Vui lòng kiểm tra lại." và không cho phép lưu dữ liệu. Ngược lại: Cho phép lưu dữ liệu và hiện thông báo "Thành công!".
b. Nếu Sửa:
- Lưu dữ liệu và hiện thông báo "Thành công!".</t>
  </si>
  <si>
    <t>Hủy</t>
  </si>
  <si>
    <t>1. Ẩn/Hiện:
- Luôn hiện
2. Nhấn nút Hủy:
- Khóa toàn bộ các field không cho phép chỉnh sửa.
- Hiện và cho phép nhấn các nút Thêm, Sửa, Xóa.</t>
  </si>
  <si>
    <t>1. Ẩn/Hiện:
- Luôn hiện
2. Nhấn nút Thoát:
- Đóng form Nhóm hàng</t>
  </si>
  <si>
    <t>FORM NHÓM HÀNG</t>
  </si>
  <si>
    <t>1. Ẩn/Hiện nút: 
- Hiện khi Load hoặc khi người dùng nhấn nút Hủy.
- Ẩn khi Người dùng nhấn nút Sửa.
2. Nhấn nút Thêm:
- Enable các field Mã nhóm, Tên nhóm, Hoạt động = Checked cho phép người dùng nhập liệu.</t>
  </si>
  <si>
    <t>1. Ẩn/Hiện nút: 
- Hiện khi Load hoặc khi người dùng nhấn nút Hủy.
- Ẩn khi Người dùng nhấn nút Sửa. 
2. Nhấn nút Sửa:
- Nếu chưa chọn Nhóm hàng: hiển thị thông báo "Vui lòng chọn Nhóm hàng để chỉnh sửa!". Ngược lại: Hiển thị thông tin Nhóm hàng đang chọn và Enable các field Tên Nhóm hàng, Hoạt động cho Người dùng chỉnh sửa.</t>
  </si>
  <si>
    <t>1. Nhấn nút Xóa:
- Nếu chưa chọn Nhóm hàng: hiển thị thông báo "Vui lòng chọn Nhóm hàng để xóa!". 
- Ngược lại: Hiển thị thông báo "Bạn muốn xóa Nhóm hàng này?". 
 + OK: Cập nhật field Hoạt động = False, hiện thông báo "Thành công!" và refresh lại grid Danh sách Nhóm hàng.
 + Cancel: Quay trở lại form Nhóm hàng.</t>
  </si>
  <si>
    <t>1. Ẩn/Hiện:
- Ẩn khi Người dùng mở form.
- Hiện khi người dùng đã nhấn nút Thêm hoặc Sửa.
2. Nhấn nút Lưu:
- Kiểm tra thông tin nhập liệu về Mã nhóm, Tên nhóm: Nếu chưa có dữ liệu hiện thông báo "Bạn chưa điền đủ thông tin. Vui lòng kiểm tra lại." và không cho phép lưu dữ liệu. Ngược lại, thực hiện bước tiếp theo: Lưu dữ liệu và hiện thông báo "Thành công!".</t>
  </si>
  <si>
    <t>FORMNhóm hàng</t>
  </si>
  <si>
    <t>1. Ẩn/Hiện nút: 
- Hiện khi Load hoặc khi người dùng nhấn nút Hủy.
- Ẩn khi Người dùng nhấn nút Sửa.
2. Nhấn nút Thêm:
- Enable các field MãNhóm hàng, TênNhóm hàng, Cửa hàng, Hoạt động = Checked cho phép người dùng nhập liệu.</t>
  </si>
  <si>
    <t>1. Ẩn/Hiện nút: 
- Hiện khi Load hoặc khi người dùng nhấn nút Hủy.
- Ẩn khi Người dùng nhấn nút Sửa. 
2. Nhấn nút Sửa:
- Nếu chưa chọn Nhóm hàng: hiển thị thông báo "Vui lòng chọnNhóm hàng để chỉnh sửa!". Ngược lại: Hiển thị thông tin Nhóm hàng đang chọn và Enable các field Tên Nhóm hàng, Hoạt động cho Người dùng chỉnh sửa.</t>
  </si>
  <si>
    <t>1. Ẩn/Hiện:
- Ẩn khi Người dùng mở form.
- Hiện khi người dùng đã nhấn nút Thêm hoặc Sửa.
2. Nhấn nút Lưu:
- Kiểm tra thông tin nhập liệu về MãNhóm hàng, TênNhóm hàng, Cửa hàng: Nếu chưa có dữ liệu hiện thông báo "Bạn chưa điền đủ thông tin. Vui lòng kiểm tra lại." và không cho phép lưu dữ liệu. Ngược lại, thực hiện bước tiếp theo: Lưu dữ liệu và hiện thông báo "Thành công!".</t>
  </si>
  <si>
    <t>1. Ẩn/Hiện nút: 
- Hiện khi Load hoặc khi người dùng nhấn nút Hủy.
- Ẩn khi Người dùng nhấn nút Sửa.
2. Nhấn nút Thêm:
- Enable các field Tên nhóm, Hoạt động = Checked cho phép người dùng nhập liệu.</t>
  </si>
  <si>
    <t>1. Ẩn/Hiện:
- Ẩn khi Người dùng mở form.
- Hiện khi người dùng đã nhấn nút Thêm hoặc Sửa.
2. Nhấn nút Lưu:
- Kiểm tra thông tin nhập liệu về Tên nhóm: Nếu chưa có dữ liệu hiện thông báo "Bạn chưa điền đủ thông tin. Vui lòng kiểm tra lại." và không cho phép lưu dữ liệu. Ngược lại, thực hiện bước tiếp theo: Lưu dữ liệu và hiện thông báo "Thành công!".</t>
  </si>
  <si>
    <t>FORM ĐỐI TÁC</t>
  </si>
  <si>
    <t>1. Ẩn/Hiện nút: 
- Hiện khi Load hoặc khi người dùng nhấn nút Hủy.
- Ẩn khi Người dùng nhấn nút Sửa.
2. Nhấn nút Thêm:
- Enable các field Mã Đối tác, Tên Đối tác, Điện thoại, Email, Địa chỉ, Nhóm Đối tác, Mã số thuế, Ghi chú, Hoạt động = Checked cho phép người dùng nhập liệu.</t>
  </si>
  <si>
    <t>1. Ẩn/Hiện nút: 
- Hiện khi Load hoặc khi người dùng nhấn nút Hủy.
- Ẩn khi Người dùng nhấn nút Sửa. 
2. Nhấn nút Sửa:
- Nếu chưa chọn Đối tác: hiển thị thông báo "Vui lòng chọnĐối tác để chỉnh sửa!". Ngược lại: Hiển thị thông tin Đối tác đang chọn và Enable các field Tên Đối tác, Hoạt động cho Người dùng chỉnh sửa.</t>
  </si>
  <si>
    <t>1. Nhấn nút Xóa:
- Nếu chưa chọn Đối tác: hiển thị thông báo "Vui lòng chọn Đối tác để xóa!". 
- Ngược lại: Hiển thị thông báo "Bạn muốn xóa Đối tác này?". 
 + OK: Cập nhật field Hoạt động = False, hiện thông báo "Thành công!" và refresh lại grid Danh sách Đối tác.
 + Cancel: Quay trở lại form Đối tác.</t>
  </si>
  <si>
    <t>1. Ẩn/Hiện:
- Ẩn khi Người dùng mở form.
- Hiện khi người dùng đã nhấn nút Thêm hoặc Sửa.
2. Nhấn nút Lưu:
- Kiểm tra thông tin nhập liệu về Mã Đối tác, Tên Đối tác, Điện thoại, Email, Địa chỉ, Nhóm Đối tác, Mã số thuế: Nếu chưa có dữ liệu hiện thông báo "Bạn chưa điền đủ thông tin. Vui lòng kiểm tra lại." và không cho phép lưu dữ liệu. Ngược lại, thực hiện bước tiếp theo: Lưu dữ liệu và hiện thông báo "Thành công!".</t>
  </si>
  <si>
    <t>1. Ẩn/Hiện:
- Luôn hiện
2. Nhấn nút Thoát:
- Đóng form Đối tác</t>
  </si>
  <si>
    <t>FORM PHÂN LOẠI HÀNG</t>
  </si>
  <si>
    <t>PHÂN LOẠI HÀNG</t>
  </si>
  <si>
    <t>Xem trên form</t>
  </si>
  <si>
    <t>GroupInvoiceDetail</t>
  </si>
  <si>
    <t>Giao dịch</t>
  </si>
  <si>
    <t>Transaction</t>
  </si>
  <si>
    <t>Chi tiết giao dịch</t>
  </si>
  <si>
    <t>TransactionDetail</t>
  </si>
  <si>
    <t>TransactionType</t>
  </si>
  <si>
    <t>Tạo phiếu nhập kho</t>
  </si>
  <si>
    <r>
      <rPr>
        <rFont val="Calibri"/>
        <b/>
        <sz val="11.0"/>
      </rPr>
      <t>1. Nhấn nút:</t>
    </r>
    <r>
      <rPr>
        <rFont val="Calibri"/>
        <sz val="11.0"/>
      </rPr>
      <t xml:space="preserve"> 
- Kiểm tra nếu chưa chọn Chi tiết phân loại hàng: Hiển thị thông báo: "Vui lòng chọn Phân loại hàng để tạo phiếu?". Ngược lại, Hiển thị thông báo: "Xác nhận Tạo phiếu nhập kho?".
</t>
    </r>
    <r>
      <rPr>
        <rFont val="Calibri"/>
        <b/>
        <sz val="11.0"/>
      </rPr>
      <t xml:space="preserve">a. Yes:
- Tạo Phiếu nhập kho với các thông tin: 
</t>
    </r>
    <r>
      <rPr>
        <rFont val="Calibri"/>
        <sz val="11.0"/>
      </rPr>
      <t xml:space="preserve">+ Cửa hàng (Transaction.UnitId) = Cửa hàng trên form Phân loại hàng (GroupInvoiceDetail.UnitId)
+ Ngày lập = Ngày hiện tại
+ Người lập = Current User.
+ Trạng thái = Lưu tạm
</t>
    </r>
    <r>
      <rPr>
        <rFont val="Calibri"/>
        <b/>
        <sz val="11.0"/>
      </rPr>
      <t xml:space="preserve">- Tạo Chi tiết Phiếu nhập kho:
</t>
    </r>
    <r>
      <rPr>
        <rFont val="Calibri"/>
        <sz val="11.0"/>
      </rPr>
      <t xml:space="preserve">+ Sum các cột Số lượng, TL tổng, TL hột, TL vàng Group by theo 3 cột Loại vàng, Nhóm hàng, Tình trạng để tạo thông tin cho các cột Loại vàng, Nhóm hàng, Tình trạng, Số lượng, TL tổng, TL hột, TL vàng.
+ Tính toán lại thông tin các cột TL tổng (C), TL hột (C), TL vàng (C), TL quy 10 theo công thức đang có ở Phiếu nhập kho.
+ Tính toán lại thông tin các cột TL tổng, TL hột, TL vàng trên Thông tin chung (Header) của Phiếu nhập kho.
</t>
    </r>
    <r>
      <rPr>
        <rFont val="Calibri"/>
        <b/>
        <sz val="11.0"/>
      </rPr>
      <t xml:space="preserve">- Khi tạo Thành công Chi tiết phiếu nhập kho: </t>
    </r>
    <r>
      <rPr>
        <rFont val="Calibri"/>
        <sz val="11.0"/>
      </rPr>
      <t xml:space="preserve">Cập nhật thông tin của Phân loại hàng (GroupInvoiceDetail) đã chọn khi tạo ra Chi tiết Phiếu nhập kho (TransactionDetail) :
  - GroupInvoiceDetail.TransactionDetailId  = </t>
    </r>
    <r>
      <rPr>
        <rFont val="Calibri"/>
        <color rgb="FF1155CC"/>
        <sz val="11.0"/>
        <u/>
      </rPr>
      <t xml:space="preserve">TransactionDetail.Id
</t>
    </r>
    <r>
      <rPr>
        <rFont val="Calibri"/>
        <sz val="11.0"/>
      </rPr>
      <t xml:space="preserve">  - GroupInvoiceDetail.IsCreatedTransaction = true (1)
</t>
    </r>
    <r>
      <rPr>
        <rFont val="Calibri"/>
        <b/>
        <sz val="11.0"/>
      </rPr>
      <t xml:space="preserve">b. No: 
</t>
    </r>
    <r>
      <rPr>
        <rFont val="Calibri"/>
        <sz val="11.0"/>
      </rPr>
      <t xml:space="preserve"> + Quay về màn hình Phân loại hàng.
</t>
    </r>
  </si>
  <si>
    <r>
      <rPr>
        <rFont val="Calibri"/>
        <strike/>
        <sz val="11.0"/>
      </rPr>
      <t xml:space="preserve">Trên Phiếu nhập kho: Điều chỉnh các mục dưới đây có định dạng in đậm và tô màu đỏ
6        Xóa
8        Hủy
10        Không duyệt
</t>
    </r>
    <r>
      <rPr>
        <rFont val="Calibri"/>
        <strike/>
        <color rgb="FF1155CC"/>
        <sz val="11.0"/>
        <u/>
      </rPr>
      <t xml:space="preserve">https://docs.google.com/spreadsheets/d/1jljZd94q5hPs_VCUIFFelofH5LKgkAhLZL3cJTgx-xM/edit?gid=1344197067#gid=1344197067
</t>
    </r>
    <r>
      <rPr>
        <rFont val="Calibri"/>
        <color rgb="FF1155CC"/>
        <sz val="11.0"/>
        <u/>
      </rPr>
      <t xml:space="preserve">
</t>
    </r>
    <r>
      <rPr>
        <rFont val="Calibri"/>
        <b/>
        <color rgb="FFFF0000"/>
        <sz val="11.0"/>
      </rPr>
      <t>2. BỔ SUNG:</t>
    </r>
    <r>
      <rPr>
        <rFont val="Calibri"/>
        <sz val="11.0"/>
      </rPr>
      <t xml:space="preserve">
- Khi tạo Phiếu nhập kho: Khi tạo Chi tiết phiếu nhập kho bổ sung thêm 2 cột Đơn giá, Tổng tiền.
+ Tổng tiền = SUM cột Tổng tiền Group by theo 3 cột Loại vàng, Nhóm hàng, Tình trạng.
+ Đơn giá = (Tổng Thành tiền/Tổng TL vàng)/1000 Group by theo 3 cột Loại vàng, Nhóm hàng, Tình trạng.</t>
    </r>
  </si>
  <si>
    <t>Bổ sung</t>
  </si>
  <si>
    <t>Bổ sung thêm Lookup Kho (Filter theo Lookup Cửa hàng). Khi nhấn nút Tạo phiếu nhập kho: Check không cho phép null Lookup Kho.
- Gán Kho đã chọn ở Phân loại hàng vào Lookup Kho trên Phiếu nhập kho</t>
  </si>
  <si>
    <t>Nút Tìm</t>
  </si>
  <si>
    <r>
      <rPr>
        <rFont val="Calibri"/>
        <color theme="1"/>
        <sz val="11.0"/>
      </rPr>
      <t xml:space="preserve">Khi nhấn nút Tìm: thực hiện lấy dữ liệu từ bảng GroupInvoiceDetaol theo theo Điều kiện:  
Từ ngày &lt;= Ngày tạo (GroupInvoiceDetail.CreatedOn) &lt;= Đến ngày &amp;&amp; Cửa hàng (GroupInvoiceDetail.UnitId) = Cửa hàng (lkDonVi) &amp;&amp; Loại vàng = Combobox Loại vàng, Nhóm hàng = Combobox Nhóm hàng, Tình trạng = Combobox  Tình trạng,  Đã tạo phiếu =Combobox Đã tạo phiếu.
</t>
    </r>
    <r>
      <rPr>
        <rFont val="Calibri"/>
        <b/>
        <color rgb="FFFF0000"/>
        <sz val="11.0"/>
      </rPr>
      <t xml:space="preserve">Lưu ý: 
</t>
    </r>
    <r>
      <rPr>
        <rFont val="Calibri"/>
        <color theme="1"/>
        <sz val="11.0"/>
      </rPr>
      <t>Nếu 1 hoặc các Combobox Loại vàng, Nhóm hàng, Tình Trạng, Đã tạo phiếu = NULL: thì bỏ qua điều kiện đó</t>
    </r>
  </si>
  <si>
    <t>FORM PHIẾU NHẬP KHO</t>
  </si>
  <si>
    <t>DANH SÁCH PHIẾU NHẬP KHO</t>
  </si>
  <si>
    <t>PHIẾU NHẬP KHO</t>
  </si>
  <si>
    <t>1. Thông tin chung:
- Số phiếu: Cấu trúc "Mã cửa hàng (2 ký tự)" + "PN" + "Ngày/Tháng/Năm - format dd/MM/yy" + STT (3). Ví dụ: C1PN191124001</t>
  </si>
  <si>
    <t>Load form</t>
  </si>
  <si>
    <r>
      <rPr>
        <rFont val="Calibri"/>
        <b/>
        <color theme="1"/>
        <sz val="11.0"/>
      </rPr>
      <t>1. Load form:</t>
    </r>
    <r>
      <rPr>
        <rFont val="Calibri"/>
        <color theme="1"/>
        <sz val="11.0"/>
      </rPr>
      <t xml:space="preserve">
- Cửa hàng: mặc định load thông tin Cửa hàng theo User đang đăng nhập.
- Kho: Load danh sách Kho theo Cửa hàng.
- Đến ngày = Ngày hiện tại
- Từ ngày = Đến ngày - 7
- Trạng thái: mặc định = Lưu tạm (có các Trạng thái = Lưu tạm, Chờ duyệt, Đã duyệt, Không duyệt, Đã xóa).
2. Load danh sách tất cả các Phiếu nhập kho theo điều kiện:
- Phiếu nhập kho.Cửa hàng = Cửa hàng và Phiếu nhập kho.Ngày nhập nằm trong khoảng Từ ngày - Đến ngày.
3. Chọn Phiếu nhập kho từ Danh sanh phiếu nhập kho:
- Hiển thị thông tin Phiếu nhập kho từ Danh sách phiếu nhập kho sang Tab Chi tiết
4. Khi thay đổi Từ ngày hoặc Đến ngày: 
- Luôn kiểm tra Từ ngày phải &lt;= Đến ngày: hiển thị thông báo "Vui lòng nhập Từ ngày nhỏ hơn hoặc bằng Đến ngày!".
- Load lại Danh sách các Phiếu nhập kho theo điều kiện ở mục 2.</t>
    </r>
  </si>
  <si>
    <t>1. Ẩn/Hiện nút: 
- Hiện khi Load hoặc khi người dùng nhấn nút Hủy.
- Ẩn khi Người dùng nhấn nút Sửa.
2. Nhấn nút Thêm:
- Mở sang tab Chi tiết:
 + Mở các field Kho, Ghi chú và Chi tiết phiếu nhập kho cho phép User nhập liệu.
 + Tự động load thông tin các field Ngày nhập = Ngày hiện tại, Trạng thái = Lưu tạm.</t>
  </si>
  <si>
    <t>Nhập liệu lưới Chi tiết phiếu nhập kho</t>
  </si>
  <si>
    <r>
      <rPr>
        <rFont val="Calibri"/>
        <b/>
        <color theme="1"/>
        <sz val="11.0"/>
      </rPr>
      <t>1. Xử lý thông tin các cột của lưới Chi tiết phiếu nhập kho:</t>
    </r>
    <r>
      <rPr>
        <rFont val="Calibri"/>
        <color theme="1"/>
        <sz val="11.0"/>
      </rPr>
      <t xml:space="preserve">
- Loại vàng: Load danh sách Loại vàng có Status = True.
- Tên loại vàng:
- Tuổi vàng
- ĐVT: Auto load theo Loại vàng đã chọn.
- Nhóm hàng: Load danh sách Nhóm hàng có Status = True.
- Số lượng: Cho phép nhập liệu và giá trị nhập phải &gt; 0
- TL tổng: Nếu Kết nối cân = Có: Khóa không cho phép nhập liệu và sẽ lấy dữ liệu từ Cân. Ngược lại, cho phép nhập liệu (giá trị nhập phải &gt; 0)
- TL hột: Cho phép nhập liệu và giá trị nhập phải &gt;= 0
- TL vàng: Readonly và được tính theo công thức  TL vàng = TL tổng - TL hột
</t>
    </r>
    <r>
      <rPr>
        <rFont val="Calibri"/>
        <b/>
        <color rgb="FFFF0000"/>
        <sz val="11.0"/>
      </rPr>
      <t>- Đơn giá: Cho phép nhập liệu và giá trị nhập phải &gt;= 0
- Thành tiền: Readonly và được tính theo công thức  Thành tiền = TL vàng * Đơn giá * 1000</t>
    </r>
    <r>
      <rPr>
        <rFont val="Calibri"/>
        <color theme="1"/>
        <sz val="11.0"/>
      </rPr>
      <t xml:space="preserve">
- ĐVT (c): mặc định là Chỉ, Readonly
- Các cột TL tổng (c), TL hột (c), TL vàng (c):
   + Mặc định: ReadOnly
   + Quy đổi theo ĐVT của Loại vàng đã chọn:
       =&gt; Nếu Loại vàng có ĐVT = Chỉ: TL tổng (c) = TL tổng, TL hột (c) = TL hột, TL vàng (c) = TL vàng
       =&gt; Nếu Loại vàng có ĐVT = Gram: TL tổng (c) = TL tổng/3,75, TL hột (c) = TL hột/3,75, TL vàng (c) = TL vàng/3,75
- TL quy 10: Readonly và được tính theo công thức  TL quy 10 = TL vàng (c) * Tuổi vàng/100
- Ghi chú: Cho phép nhập liệu.
</t>
    </r>
    <r>
      <rPr>
        <rFont val="Calibri"/>
        <b/>
        <color theme="1"/>
        <sz val="11.0"/>
      </rPr>
      <t>2. Cập nhật thông tin các field txt TL tổng, TL hột, TL vàng trên Phiếu nhập kho:</t>
    </r>
    <r>
      <rPr>
        <rFont val="Calibri"/>
        <color theme="1"/>
        <sz val="11.0"/>
      </rPr>
      <t xml:space="preserve">
- TL tổng = Sum TL tổng (c) của lưới Chi tiết phiếu nhập kho
- TL hột = Sum TL hột (c) của lưới Chi tiết phiếu nhập kho
- TL vàng = Sum TL vàng (c) của lưới Chi tiết phiếu nhập kho</t>
    </r>
  </si>
  <si>
    <t>Bổ sung:
- Đơn giá: Cho phép nhập liệu và giá trị nhập phải &gt;= 0
- Thành tiền: Readonly và được tính theo công thức  Thành tiền = TL vàng * Đơn giá * 1000</t>
  </si>
  <si>
    <t>1. Ẩn/Hiện nút: 
- Hiện khi Load form hoặc chọn Phiếu nhập kho có Trạng thái = Lưu tạm.
- Ẩn khi Người dùng nhấn nút Sửa. 
2. Nhấn nút Sửa:
- Nếu chưa chọn Phiếu nhập kho: hiển thị thông báo "Vui lòng chọn Phiếu nhập kho để chỉnh sửa!". Ngược lại: Hiển thị thông tin Phiếu nhập kho đang chọn và Enable các field Kho, Ghi chú, Chi tiết phiếu nhập kho cho Người dùng chỉnh sửa.</t>
  </si>
  <si>
    <t>1. Ẩn/Hiện nút: 
- Chỉ hiển thị khi người dùng chọn Phiếu nhập kho có Trạng thái = Lưu tạm.
2. Nhấn nút Xóa: Khi nhấn nút nếu chưa chọn Phiếu nhập kho: hiển thị thông báo "Vui lòng chọn Phiếu nhập kho để xóa!". 
- Ngược lại: Hiển thị thông báo "Xác nhận xóa Phiếu nhập kho?". 
a. OK: 
- Cập nhật field Trạng thái = Đã xóa, hiện thông báo "Thành công!" và refresh lại grid Danh sách Phiếu nhập kho.
- Cập nhật thông tin của Phân loại hàng (GroupInvoiceDetail) nếu Chi tiết phiếu nhập kho được tạo từ Phân loại hàng:
 + Điều kiện: TransactionDetail. Id tồn tại trong danh sách GroupInvoiceDetail.TransactionDetailId của Phân loại hàng (GroupInvoiceDetail):
  - GroupInvoiceDetail.TransactionDetailId  = null
  - GroupInvoiceDetail.IsCreatedTransaction = false (0)
b. Cancel: Quay trở lại form Phiếu nhập kho.</t>
  </si>
  <si>
    <t xml:space="preserve">Cập nhật thông tin trên bảng Phân loại hàng (GroupInvoiceDetail) </t>
  </si>
  <si>
    <t>1. Ẩn/Hiện:
- Ẩn khi Người dùng mở form.
- Hiện khi người dùng đã nhấn nút Thêm hoặc Sửa.
2. Nhấn nút Lưu:
- Kiểm tra thông tin nhập liệu về Kho, Chi tiết phiếu nhập kho: Nếu chưa có dữ liệu hiện thông báo "Bạn chưa điền đủ thông tin. Vui lòng kiểm tra lại." và không cho phép lưu dữ liệu. Ngược lại, thực hiện bước tiếp theo: Lưu dữ liệu và hiện thông báo "Thành công!".</t>
  </si>
  <si>
    <t>1. Ẩn/Hiện:
- Ẩn khi Người dùng mở form.
- Hiện khi người dùng chọn Phiếu nhập kho có Trạng thái = Chờ duyệt.
2. Nhấn nút Hủy:
- Hiển thị thông báo: "Xác nhận Hủy phiếu nhập kho?".
+ Yes: 
- Cập nhật Trạng thái của Phiếu nhập kho = Hủy.
- Cập nhật thông tin của Phân loại hàng (GroupInvoiceDetail) nếu Chi tiết phiếu nhập kho được tạo từ Phân loại hàng:
 + Điều kiện: TransactionDetail. Id tồn tại trong danh sách GroupInvoiceDetail.TransactionDetailId của Phân loại hàng (GroupInvoiceDetail):
  - GroupInvoiceDetail.TransactionDetailId  = null
  - GroupInvoiceDetail.IsCreatedTransaction = false (0)
+ No: Quay về màn hình Phiếu nhập kho.</t>
  </si>
  <si>
    <t>Duyệt</t>
  </si>
  <si>
    <r>
      <rPr>
        <rFont val="Calibri"/>
        <b/>
        <color theme="1"/>
        <sz val="11.0"/>
      </rPr>
      <t>1. Ẩn/Hiện:</t>
    </r>
    <r>
      <rPr>
        <rFont val="Calibri"/>
        <color theme="1"/>
        <sz val="11.0"/>
      </rPr>
      <t xml:space="preserve">
- Ẩn khi Người dùng mở form.
- Hiện khi người dùng chọn Phiếu nhập kho có Trạng thái = Chờ duyệt.
</t>
    </r>
    <r>
      <rPr>
        <rFont val="Calibri"/>
        <b/>
        <color theme="1"/>
        <sz val="11.0"/>
      </rPr>
      <t>2. Nhấn nút Duyệt:</t>
    </r>
    <r>
      <rPr>
        <rFont val="Calibri"/>
        <color theme="1"/>
        <sz val="11.0"/>
      </rPr>
      <t xml:space="preserve"> Hiển thị thông báo: "Xác nhận Duyệt phiếu nhập kho?".
</t>
    </r>
    <r>
      <rPr>
        <rFont val="Calibri"/>
        <b/>
        <color theme="1"/>
        <sz val="11.0"/>
      </rPr>
      <t xml:space="preserve">a. Yes: </t>
    </r>
    <r>
      <rPr>
        <rFont val="Calibri"/>
        <color theme="1"/>
        <sz val="11.0"/>
      </rPr>
      <t xml:space="preserve">
 a. Cập nhật Trạng thái của Phiếu nhập kho = Đã duyệt.
 b. Cập nhật dữ liệu bảng Tồn kho (Inventory): Kiểm tra tồn tại 
- UnitId = Cửa hàng (trên Header)
- StockId = Kho (trên Header)
- ProductId = Loại vàng
- UnitOfMeasureId = ĐVT (c) (theo Detail)
- Cập nhật Tồn đầu, Nhập, Xuất, Tồn cuối theo công thức đã có trong code cho cột Quantity và áp dụng cho các cột TL tổng (c), TL hột (c), TL vàng (c):
+ ClosingTotalWeight = OpeningTotalWeight + ReceivedTotalWeight - IssuedTotalWeight
+ ClosingDiamondWeight = OpeningDiamondWeight + ReceivedDiamondWeight - IssuedDiamondWeight 
+ ClosingGoldWeight = OpeningGoldWeight + ReceivedGoldWeight - IssuedGoldWeight
- InventoryDate = Ngày duyệt  (trên Header)
</t>
    </r>
    <r>
      <rPr>
        <rFont val="Calibri"/>
        <b/>
        <color theme="1"/>
        <sz val="11.0"/>
      </rPr>
      <t xml:space="preserve">b. No: 
</t>
    </r>
    <r>
      <rPr>
        <rFont val="Calibri"/>
        <color theme="1"/>
        <sz val="11.0"/>
      </rPr>
      <t xml:space="preserve"> + Quay về màn hình Phiếu nhập kho.</t>
    </r>
  </si>
  <si>
    <r>
      <rPr>
        <rFont val="Calibri"/>
        <b/>
        <color rgb="FFFF0000"/>
        <sz val="11.0"/>
      </rPr>
      <t xml:space="preserve">Điều chỉnh:
1. Cập nhật bảng Inventory:
Với mỗi Chi tiết phiếu nhập kho: Kiểm tra bản ghi tồn tại trong Inventory theo ProductId, ProductGroupId, ProductTypeId, StockId, UnitId.
a. Nếu tồn tại: Cập nhật:
</t>
    </r>
    <r>
      <rPr>
        <rFont val="Calibri"/>
        <b val="0"/>
        <color rgb="FF000000"/>
        <sz val="11.0"/>
      </rPr>
      <t>- TotalWeight += TotalWeight,
- DiamondWeight += DiamondWeight,
- GoldWeight += GoldWeight,
- Quantity += Quantity ,
- TotalAmount += TotalAmount ,
- UnitPrice = TotalAmount/1000/GoldWeight,
- LastUpdated = Ngày hiện tại.
- InventoryDate = Ngày hiện tại.</t>
    </r>
    <r>
      <rPr>
        <rFont val="Calibri"/>
        <b/>
        <color rgb="FFFF0000"/>
        <sz val="11.0"/>
      </rPr>
      <t xml:space="preserve">
b Nếu không tồn tại:
</t>
    </r>
    <r>
      <rPr>
        <rFont val="Calibri"/>
        <b val="0"/>
        <color rgb="FF000000"/>
        <sz val="11.0"/>
      </rPr>
      <t>Tạo bản ghi mới với InventoryId = NEWID() và các giá trị từ phiếu nhập kho và Chi tiết phiếu nhập kho.
- TotalWeight = TotalWeight,
- DiamondWeight = DiamondWeight,
- GoldWeight = GoldWeight,
- Quantity = Quantity ,
- TotalAmount = TotalAmount ,
- UnitPrice = TotalAmount/1000/GoldWeight,
- LastUpdated = Now()
- InventoryDate = Now()</t>
    </r>
    <r>
      <rPr>
        <rFont val="Calibri"/>
        <b/>
        <color rgb="FFFF0000"/>
        <sz val="11.0"/>
      </rPr>
      <t xml:space="preserve">
2. Ghi lịch sử vào bảng InventoryHistory:
Cho mỗi chi tiết phiếu nhập kho:
a. Tạo bản ghi với:
</t>
    </r>
    <r>
      <rPr>
        <rFont val="Calibri"/>
        <b val="0"/>
        <color rgb="FF000000"/>
        <sz val="11.0"/>
      </rPr>
      <t>- HistoryId: GUID mới.
- TransactionId, TransactionDetailId: Liên kết với Transaction và TransactionDetails .
- TransactionType = 1.
- ProductId, ProductGroupId, ProductTypeId, StockId, TotalWeightChange = TotalWeight , DiamondWeightChange = DiamondWeight, GoldWeightChange = GoldWeight, QuantityChange = Quantity, UnitPrice = UnitPrice , TotalAmount = TotalAmount .
- BalanceTotalWeight, BalanceDiamondWeight, BalanceGoldWeight: Lấy từ Inventory sau khi cập nhật.
- TransactionDate = DateCreated: Ngày hiện tại.
- Createdby = Current User.</t>
    </r>
    <r>
      <rPr>
        <rFont val="Calibri"/>
        <b/>
        <color rgb="FFFF0000"/>
        <sz val="11.0"/>
      </rPr>
      <t xml:space="preserve">
</t>
    </r>
  </si>
  <si>
    <t>Không duyệt</t>
  </si>
  <si>
    <t>1. Ẩn/Hiện:
- Ẩn khi Người dùng mở form.
- Hiện khi người dùng chọn Phiếu nhập kho có Trạng thái = Chờ duyệt.
2. Nhấn nút Duyệt: Hiển thị thông báo: "Xác nhận Không Duyệt phiếu nhập kho?".
- Yes: 
 + Cập nhật Trạng thái của Phiếu nhập kho = Hủy.
 + Cập nhật dữ liệu bảng Tồn kho: theo Cửa hàng, Kho (trên Header) và Loại vàng, Đơn vị tính (theo Detail)
     . TL tổng += TL tổng.
     . TL hột += TL hột.
     . TL vàng += TL vàng.
     . Ngày cập nhật = Ngày hiện tại
- Cập nhật thông tin của Phân loại hàng (GroupInvoiceDetail) nếu Chi tiết phiếu nhập kho được tạo từ Phân loại hàng:
 + Điều kiện: TransactionDetail. Id tồn tại trong danh sách GroupInvoiceDetail.TransactionDetailId của Phân loại hàng (GroupInvoiceDetail):
  - GroupInvoiceDetail.TransactionDetailId  = null
  - GroupInvoiceDetail.IsCreatedTransaction = false (0)
- No: Quay về màn hình Phiếu nhập kho.</t>
  </si>
  <si>
    <t>1. Ẩn/Hiện:
- Luôn hiện
2. Nhấn nút Thoát:
- Đóng form Phiếu nhập kho</t>
  </si>
  <si>
    <t>Nút In Phiếu</t>
  </si>
  <si>
    <t>In mẫu phiếu A4</t>
  </si>
  <si>
    <t>Nút In Mã QR</t>
  </si>
  <si>
    <t>In mã QR của Phiếu nhập kho lấy thông tin Số phiếu để gen ra QR code.</t>
  </si>
  <si>
    <t>FORM PHIẾU XUẤT KHO</t>
  </si>
  <si>
    <t>DANH SÁCH PHIẾU XUẤT KHO</t>
  </si>
  <si>
    <t>PHIẾU XUẤT KHO</t>
  </si>
  <si>
    <t>SỬ DỤNG CHUNG BẢNG Phiếu xuất kho</t>
  </si>
  <si>
    <t>1. Load form:
- Cửa hàng: mặc định load thông tin Cửa hàng theo User đang đăng nhập.
- Kho: Load danh sách Kho theo Cửa hàng.
- Đến ngày = Ngày hiện tại
- Từ ngày = Đến ngày - 7
- Trạng thái: mặc định = Lưu tạm (có các Trạng thái = Lưu tạm, Chờ duyệt, Đã duyệt, Không duyệt, Đã xóa).
2. Load danh sách tất cả các Phiếu xuất kho theo điều kiện:
- Phiếu xuất kho.Cửa hàng = Cửa hàng và Phiếu xuất kho.Ngày nhập nằm trong khoảng Từ ngày - Đến ngày.
3. Chọn Phiếu xuất kho từ Danh sanh phiếu xuất kho:
- Hiển thị thông tin Phiếu xuất kho từ Danh sách Phiếu xuất kho sang Tab Chi tiết
4. Khi thay đổi Từ ngày hoặc Đến ngày: 
- Luôn kiểm tra Từ ngày phải &lt;= Đến ngày: hiển thị thông báo "Vui lòng nhập Từ ngày nhỏ hơn hoặc bằng Đến ngày!".
- Load lại Danh sách các Phiếu xuất kho theo điều kiện ở mục 2.</t>
  </si>
  <si>
    <t>1. Ẩn/Hiện nút: 
- Hiện khi Load hoặc khi người dùng nhấn nút Hủy.
- Ẩn khi Người dùng nhấn nút Sửa.
2. Nhấn nút Thêm:
- Mở sang tab Chi tiết.
a. Mở các field trên Thông tin cho phép User nhập liệu:
- Kho: Filter Kho theo Cửa hàng đã chọn.
- Loại xuất kho (gồm các option: Xuất nội bộ, Xuất trả chành, Xuất đi nấu).
- Đối tác: Mở cho edit nếu Loại xuất kho = Xuất trả chành. Ngược lại, khóa ko cho edit.
- Thợ: Mở cho edit nếu Loại xuất kho = Xuất trả chành. Ngược lại, khóa ko cho edit.
- Ghi chú
- Enable Grid Chi tiết Phiếu xuất kho cho edit.
b. Tự động load thông tin các field Người lập = User đang đăng nhập, Ngày nhập = Ngày hiện tại, Trạng thái = Lưu tạm.</t>
  </si>
  <si>
    <t>Nhập liệu lưới Chi tiết Phiếu xuất kho</t>
  </si>
  <si>
    <t>1. Trên grid Chi tiết phiếu xuất kho:
- Cột Loại vàng: lấy danh sách Loại vàng đang Active &amp;&amp; Loại vàng chính = null.
- Cột Loại vàng tách: Lọc danh sách Loại vàng tách theo Loại vàng đã chọn ở cột Loại vàng (điều kiện: Loại vàng tách.Loại vàng chính = Loại vàng đã chọn ở cột Loại vàng).
- Cột Tuổi vàng (Age): load theo Loại vàng tách
- ĐVT (UnitOfMeasureId): load theo Loại vàng
- Cột TL vàng (GoldWeight) = TL tổng (TotalWeight) - TL hột (DiamondWeight) .
- Cột TL vàng quy 10 = cột TL vàng  (GoldWeight) * Tuổi vàng (Age)/100
- Cột TL tổng (N) (TotalWeight2) , TL hột (N)  (DiamondWeight2) : cho phép edit nếu Phiếu xuất kho.Loại xuất kho = Xuất trả chành
- Cột TL vàng (N) (GoldWeight2) = TL tổng (N) (TotalWeight2) - TL hột (N) (DiamondWeight2)
- Cột TL chênh lệch = TL vàng (GoldWeight) - TL vàng (N) (GoldWeight2)</t>
  </si>
  <si>
    <t>1. Ẩn/Hiện nút: 
- Hiện khi Load form hoặc chọn Phiếu xuất kho có Trạng thái = Lưu tạm.
- Ẩn khi Người dùng nhấn nút Sửa. 
2. Nhấn nút Sửa:
- Nếu chưa chọn Phiếu xuất kho: hiển thị thông báo "Vui lòng chọn Phiếu xuất kho để chỉnh sửa!". Ngược lại: Hiển thị thông tin Phiếu xuất kho đang chọn và Enable các thông tin chung và Chi tiết Phiếu xuất kho cho Người dùng chỉnh sửa.</t>
  </si>
  <si>
    <t>1. Ẩn/Hiện nút: 
- Chỉ hiển thị khi người dùng chọn Phiếu xuất kho có Trạng thái = Lưu tạm.
2. Nhấn nút Xóa: Khi nhấn nút nếu chưa chọn Phiếu xuất kho: hiển thị thông báo "Vui lòng chọn Phiếu xuất kho để xóa!". 
- Ngược lại: Hiển thị thông báo "Xác nhận xóa Phiếu xuất kho?". 
 + OK: Cập nhật field Trạng thái = Đã xóa, hiện thông báo "Thành công!" và refresh lại grid Danh sách Phiếu xuất kho.
 + Cancel: Quay trở lại form Phiếu xuất kho.</t>
  </si>
  <si>
    <t>1. Ẩn/Hiện:
- Ẩn khi Người dùng mở form.
- Hiện khi người dùng đã nhấn nút Thêm hoặc Sửa.
2. Nhấn nút Lưu:
a. Kiểm tra thông tin nhập liệu về Kho:
- Thông tin Cửa hàng (UnitId), Kho (StockId)
- Kiểm tra thông tin theo Loại xuất kho:
  + Nếu Loại xuất kho = Xuất trả chành: kiểm tra thông tin ô Đối tác (PartnerId) bắt buộc có dữ liệu.
  + Nếu Loại xuất kho = Xuất đi nấu: kiểm tra thông tin ô Thợ (GoldSmithId) bắt buộc có dữ liệu. 
  + Ngược lại, khóa ko cho edit.
b. Kiểm tra thông tin Chi tiết Phiếu xuất kho: 
- Nếu chưa có dữ liệu hiện thông báo "Bạn chưa điền đủ thông tin. Vui lòng kiểm tra lại." và không cho phép lưu dữ liệu. Ngược lại, thực hiện bước tiếp theo: Lưu dữ liệu và hiện thông báo "Thành công!".</t>
  </si>
  <si>
    <t>1. Ẩn/Hiện:
- Ẩn khi Người dùng mở form.
- Hiện khi người dùng chọn Phiếu xuất kho có Trạng thái = Chờ duyệt.
2. Nhấn nút Hủy:
- Hiển thị thông báo: "Xác nhận Hủy Phiếu xuất kho?".
+ Yes: Cập nhật Trạng thái của Phiếu xuất kho = Hủy.
+ No: Quay về màn hình Phiếu xuất kho.</t>
  </si>
  <si>
    <t>Trình duyệt</t>
  </si>
  <si>
    <t>2. Nhấn nút Trình duyệt: Hiển thị thông báo: "Xác nhận Trình duyệt Phiếu xuất kho?".
a. Yes: 
 a. Cập nhật Trạng thái của Phiếu xuất kho = Chờ duyệt. 
b. No: 
 + Quay về màn hình Phiếu xuất kho.</t>
  </si>
  <si>
    <r>
      <rPr>
        <rFont val="Calibri"/>
        <b/>
        <color theme="1"/>
        <sz val="11.0"/>
      </rPr>
      <t>1. Ẩn/Hiện:</t>
    </r>
    <r>
      <rPr>
        <rFont val="Calibri"/>
        <color theme="1"/>
        <sz val="11.0"/>
      </rPr>
      <t xml:space="preserve">
- Ẩn khi Người dùng mở form.
- Hiện khi người dùng chọn Phiếu xuất kho có Trạng thái = Chờ duyệt.
</t>
    </r>
    <r>
      <rPr>
        <rFont val="Calibri"/>
        <b/>
        <color theme="1"/>
        <sz val="11.0"/>
      </rPr>
      <t>2. Nhấn nút Duyệt:</t>
    </r>
    <r>
      <rPr>
        <rFont val="Calibri"/>
        <color theme="1"/>
        <sz val="11.0"/>
      </rPr>
      <t xml:space="preserve"> Hiển thị thông báo: "Xác nhận Duyệt Phiếu xuất kho?".
</t>
    </r>
    <r>
      <rPr>
        <rFont val="Calibri"/>
        <b/>
        <color theme="1"/>
        <sz val="11.0"/>
      </rPr>
      <t xml:space="preserve">a. Yes: </t>
    </r>
    <r>
      <rPr>
        <rFont val="Calibri"/>
        <color theme="1"/>
        <sz val="11.0"/>
      </rPr>
      <t xml:space="preserve">
 a. Cập nhật Trạng thái của Phiếu xuất kho = Đã duyệt.
 b. Cập nhật dữ liệu bảng Tồn kho (Inventory): Kiểm tra tồn tại 
- UnitId = Cửa hàng (trên Header)
- StockId = Kho (trên Header)
- ProductId = Loại vàng
- UnitOfMeasureId = ĐVT (c) (theo Detail)
- Cập nhật Tồn đầu, Nhập, Xuất, Tồn cuối theo công thức đã có trong code cho cột Quantity và áp dụng cho các cột TL tổng (c), TL hột (c), TL vàng (c):
+ ClosingTotalWeight = OpeningTotalWeight + ReceivedTotalWeight - IssuedTotalWeight
+ ClosingDiamondWeight = OpeningDiamondWeight + ReceivedDiamondWeight - IssuedDiamondWeight 
+ ClosingGoldWeight = OpeningGoldWeight + ReceivedGoldWeight - IssuedGoldWeight
- InventoryDate = Ngày duyệt  (trên Header)
</t>
    </r>
    <r>
      <rPr>
        <rFont val="Calibri"/>
        <b/>
        <color theme="1"/>
        <sz val="11.0"/>
      </rPr>
      <t xml:space="preserve">b. No: 
</t>
    </r>
    <r>
      <rPr>
        <rFont val="Calibri"/>
        <color theme="1"/>
        <sz val="11.0"/>
      </rPr>
      <t xml:space="preserve"> + Quay về màn hình Phiếu xuất kho.</t>
    </r>
  </si>
  <si>
    <r>
      <rPr>
        <rFont val="Calibri"/>
        <b/>
        <color rgb="FFFF0000"/>
        <sz val="11.0"/>
      </rPr>
      <t>1.Kiểm tra tồn kho:</t>
    </r>
    <r>
      <rPr>
        <rFont val="Calibri"/>
        <b/>
        <color theme="1"/>
        <sz val="11.0"/>
      </rPr>
      <t xml:space="preserve">
- Kiểm tra tồn kho: </t>
    </r>
    <r>
      <rPr>
        <rFont val="Calibri"/>
        <color theme="1"/>
        <sz val="11.0"/>
      </rPr>
      <t xml:space="preserve">Điều kiện GoldWeight đủ để xuất (GoldWeight &gt;= GoldWeight trong bảng Inventory theo ProductId, ProductGroupId, ProductTypeId, StockId, UnitId có trên Phiếu xuất kho)
</t>
    </r>
    <r>
      <rPr>
        <rFont val="Calibri"/>
        <b/>
        <color theme="1"/>
        <sz val="11.0"/>
      </rPr>
      <t xml:space="preserve">a. Nếu thỏa điều kiện: </t>
    </r>
    <r>
      <rPr>
        <rFont val="Calibri"/>
        <color theme="1"/>
        <sz val="11.0"/>
      </rPr>
      <t xml:space="preserve">
</t>
    </r>
    <r>
      <rPr>
        <rFont val="Calibri"/>
        <b/>
        <color theme="1"/>
        <sz val="11.0"/>
      </rPr>
      <t xml:space="preserve">a.1 Cập nhật bảng Inventory: Với mỗi Chi tiết phiếu xuất kho: </t>
    </r>
    <r>
      <rPr>
        <rFont val="Calibri"/>
        <color theme="1"/>
        <sz val="11.0"/>
      </rPr>
      <t xml:space="preserve">Kiểm tra bản ghi tồn tại trong Inventory theo ProductId, ProductGroupId, ProductTypeId, StockId, UnitId.
- TotalWeight -= TotalWeight,
- DiamondWeight -= DiamondWeight,
- GoldWeight -= GoldWeight,
- Quantity -= Quantity ,
- TotalAmount -= TotalAmount ,
- UnitPrice = TotalAmount/1000/GoldWeight,
- LastUpdated = Ngày hiện tại.
- InventoryDate = Ngày hiện tại.
</t>
    </r>
    <r>
      <rPr>
        <rFont val="Calibri"/>
        <b/>
        <color theme="1"/>
        <sz val="11.0"/>
      </rPr>
      <t>a.2 Ghi lịch sử vào bảng InventoryHistory:</t>
    </r>
    <r>
      <rPr>
        <rFont val="Calibri"/>
        <color theme="1"/>
        <sz val="11.0"/>
      </rPr>
      <t xml:space="preserve">
Cho mỗi chi tiết phiếu xuất kho: Tạo bản ghi với:
- HistoryId: GUID mới.
- TransactionId, TransactionDetailId: Liên kết với Transaction và TransactionDetails .
- TransactionType = 2.
- ProductId, ProductGroupId, ProductTypeId, StockId, TotalWeightChange = </t>
    </r>
    <r>
      <rPr>
        <rFont val="Calibri"/>
        <b/>
        <color theme="1"/>
        <sz val="11.0"/>
      </rPr>
      <t>-</t>
    </r>
    <r>
      <rPr>
        <rFont val="Calibri"/>
        <color theme="1"/>
        <sz val="11.0"/>
      </rPr>
      <t xml:space="preserve"> TotalWeight, DiamondWeightChange = - DiamondWeight, GoldWeightChange = - GoldWeight, QuantityChange = - Quantity, UnitPrice = UnitPrice , TotalAmount = - TotalAmount .
- BalanceTotalWeight, BalanceDiamondWeight, BalanceGoldWeight: Lấy từ Inventory sau khi cập nhật.
- TransactionDate = DateCreated: Ngày hiện tại.
- Createdby = Current User.
</t>
    </r>
    <r>
      <rPr>
        <rFont val="Calibri"/>
        <b/>
        <color theme="1"/>
        <sz val="11.0"/>
      </rPr>
      <t>b. Nếu không thỏa điều kiện:</t>
    </r>
    <r>
      <rPr>
        <rFont val="Calibri"/>
        <color theme="1"/>
        <sz val="11.0"/>
      </rPr>
      <t xml:space="preserve"> Hiện thông báo "Không đủ tồn kho để xuất, vui lòng kiểm tra lại!". Return;
</t>
    </r>
  </si>
  <si>
    <t>1. Ẩn/Hiện:
- Ẩn khi Người dùng mở form.
- Hiện khi người dùng chọn Phiếu xuất kho có Trạng thái = Chờ duyệt.
2. Nhấn nút Không duyệt: Hiển thị thông báo: "Xác nhận Không duyệt Phiếu xuất kho?".
- Yes: 
 + Cập nhật Trạng thái của Phiếu xuất kho = Không duyệt. 
- No: Quay về màn hình Phiếu xuất kho.</t>
  </si>
  <si>
    <t>1. Ẩn/Hiện:
- Luôn hiện
2. Nhấn nút Thoát:
- Đóng form Phiếu xuất kho</t>
  </si>
  <si>
    <t>In mẫu phiếu A4 (chỉnh sửa lại form in đã có gồm các thông tin trên Phiếu xuất kho)</t>
  </si>
  <si>
    <t>In mã QR của Phiếu xuất kho lấy thông tin Số phiếu để gen ra QR code.</t>
  </si>
  <si>
    <t>Tạo phiếu nhập</t>
  </si>
  <si>
    <r>
      <rPr>
        <rFont val="Calibri"/>
        <b/>
        <color theme="1"/>
        <sz val="11.0"/>
      </rPr>
      <t>1. Nhấn nút Tạo phiếu nhập:</t>
    </r>
    <r>
      <rPr>
        <rFont val="Calibri"/>
        <color theme="1"/>
        <sz val="11.0"/>
      </rPr>
      <t xml:space="preserve">
- Tạo mới Phiếu nhập và lấy các thông tin từ Phiếu xuất hiện tại gắn sang Phiếu nhập kho:
+ Kho: StockId
+ Cửa hàng: UnitId
</t>
    </r>
    <r>
      <rPr>
        <rFont val="Calibri"/>
        <strike/>
        <color theme="1"/>
        <sz val="11.0"/>
      </rPr>
      <t>+ Thợ: GoldSmithId</t>
    </r>
    <r>
      <rPr>
        <rFont val="Calibri"/>
        <color theme="1"/>
        <sz val="11.0"/>
      </rPr>
      <t xml:space="preserve">
+ Phiếu xuất liên quan: TransactionNumber
</t>
    </r>
    <r>
      <rPr>
        <rFont val="Calibri"/>
        <b/>
        <color theme="1"/>
        <sz val="11.0"/>
      </rPr>
      <t>2. Khi lưu Phiếu nhập kho:</t>
    </r>
    <r>
      <rPr>
        <rFont val="Calibri"/>
        <color theme="1"/>
        <sz val="11.0"/>
      </rPr>
      <t xml:space="preserve">
- Lưu thêm các thông tin (nếu có Phiếu xuất kho liên quan):
+ TransactionId2 = Id của Phiếu xuất kho
+ TransactionNumber2 = TransactionNumber của Phiếu xuất kho
+ TransactionDate2 = TransactionDate của Phiếu xuất kho 
</t>
    </r>
  </si>
  <si>
    <t>FORM PHIẾU CHUYỂN KHO</t>
  </si>
  <si>
    <t>DANH SÁCH PHIẾU CHUYỂN KHO</t>
  </si>
  <si>
    <t>PHIẾU CHUYỂN KHO</t>
  </si>
  <si>
    <t>SỬ DỤNG CHUNG BẢNG Phiếu chuyển kho</t>
  </si>
  <si>
    <t>1. Thông tin chung:
- Số phiếu: Cấu trúc "Mã cửa hàng (2 ký tự)" + "PC" + "Ngày/Tháng/Năm - format dd/MM/yy" + STT (3). Ví dụ: C1PC191124001</t>
  </si>
  <si>
    <t>1. Load form:
- Cửa hàng: mặc định load thông tin Cửa hàng theo User đang đăng nhập.
- Combobox Loại chuyển gồm 2 option: Trong cửa hàng, Khác cửa hàng
- Cửa hàng nhận: Mặc định ReadOnly và chỉ ở cho edit khi Loại chuyển = Khác cửa hàng.
- Đến ngày = Ngày hiện tại
- Từ ngày = Đến ngày - 7
- Trạng thái: mặc định = Lưu tạm (có các Trạng thái = Lưu tạm, Chờ duyệt, Đã duyệt, Không duyệt, Đã xóa).
2. Load danh sách tất cả các Phiếu chuyển kho theo điều kiện:
- Phiếu chuyển kho.Cửa hàng = Cửa hàng và Phiếu chuyển kho.Ngày nhập nằm trong khoảng Từ ngày - Đến ngày.
3. Chọn Phiếu chuyển kho từ Danh sanh phiếu chuyển kho:
- Hiển thị thông tin Phiếu chuyển kho từ Danh sách Phiếu chuyển kho sang Tab Chi tiết
4. Khi thay đổi Từ ngày hoặc Đến ngày: 
- Luôn kiểm tra Từ ngày phải &lt;= Đến ngày: hiển thị thông báo "Vui lòng nhập Từ ngày nhỏ hơn hoặc bằng Đến ngày!".
- Load lại Danh sách các Phiếu chuyển kho theo điều kiện ở mục 2.</t>
  </si>
  <si>
    <t>1. Ẩn/Hiện nút: 
- Hiện khi Load hoặc khi người dùng nhấn nút Hủy.
- Ẩn khi Người dùng nhấn nút Sửa.
2. Nhấn nút Thêm:
- Mở sang tab Chi tiết.
a. Mở các field trên Thông tin cho phép User nhập liệu:
- Combobox Loại chuyển gồm 2 option: Trong cửa hàng, Khác cửa hàng
- Kho chuyển: Filter Kho theo Cửa hàng đã chọn trên Menu.
- Kho nhận: 
  + Nếu Loại chuyển = Trong cửa hàng: Filter danh sách Kho theo Cửa hàng trên Menu và khác với Kho chuyển đã chọn.
  + Nếu Loại chuyển = Khác cửa hàng: 
     -&gt; Mở khóa field Cửa hàng nhận: Filter danh sách Cửa hàng khác cửa hàng hiện tại đã chọn ở trên Menu.
     -&gt; Filter danh sách Kho theo Cửa hàng nhận trên form đã chọn.
- Ghi chú
- Enable Grid Chi tiết Phiếu chuyển kho cho edit.
b. Tự động load thông tin các field Người lập = User đang đăng nhập, Ngày nhập = Ngày hiện tại, Trạng thái = Lưu tạm.</t>
  </si>
  <si>
    <t>Nhập liệu lưới Chi tiết Phiếu chuyển kho</t>
  </si>
  <si>
    <t xml:space="preserve">1. Trên grid Chi tiết phiếu chuyển kho:
- Cột Loại vàng (ProductId): lấy danh sách Product.Status = 1 &amp;&amp; Product.MainProductId = null.
- Cột Tên loại vàng (ProductName): load theo ProductId
- Cột Tuổi vàng (Age): load theo Loại vàng
- ĐVT (UnitOfMeasureId): load theo Loại vàng
- Cột TL tổng: Lấy thông tin tồn kho theo Cửa hàng (UnitId) trên Menu, Kho chuyển (StockId)
  + TL tổng (TotalWeight) = ClosingTotalWeight trong bảng Inventory và InventoryDate là ngày gần nhất so với hiện tại.
  + Khi Edit chỉ cho phép nhập số nhỏ hơn Tồn cuối (ClosingTotalWeight) trong bảng Inventory.
- Cột TL hột: Lấy thông tin tồn kho theo Cửa hàng (UnitId) trên Menu, Kho chuyển (StockId)
  + TL hột (DiamondWeight) = ClosingDiamondWeight trong bảng Inventory và InventoryDate là ngày gần nhất so với hiện tại.
  + Khi Edit chỉ cho phép nhập số nhỏ hơn Tồn cuối (ClosingDiamondWeight) trong bảng Inventory.
- Cột TL vàng (GoldWeight) = TL tổng (TotalWeight) - TL hột (DiamondWeight)
- Cột TL vàng quy 10 = cột TL vàng  (GoldWeight) * Tuổi vàng (Age)/100
</t>
  </si>
  <si>
    <t>1. Ẩn/Hiện nút: 
- Hiện khi Load form hoặc chọn Phiếu chuyển kho có Trạng thái = Lưu tạm.
- Ẩn khi Người dùng nhấn nút Sửa. 
2. Nhấn nút Sửa:
- Nếu chưa chọn Phiếu chuyển kho: hiển thị thông báo "Vui lòng chọn Phiếu chuyển kho để chỉnh sửa!". Ngược lại: Hiển thị thông tin Phiếu chuyển kho đang chọn và Enable các thông tin chung và Chi tiết Phiếu chuyển kho cho Người dùng chỉnh sửa.</t>
  </si>
  <si>
    <t>1. Ẩn/Hiện nút: 
- Chỉ hiển thị khi người dùng chọn Phiếu chuyển kho có Trạng thái = Lưu tạm.
2. Nhấn nút Xóa: Khi nhấn nút nếu chưa chọn Phiếu chuyển kho: hiển thị thông báo "Vui lòng chọn Phiếu chuyển kho để xóa!". 
- Ngược lại: Hiển thị thông báo "Xác nhận xóa Phiếu chuyển kho?". 
 + OK: Cập nhật field Trạng thái = Đã xóa, hiện thông báo "Thành công!" và refresh lại grid Danh sách Phiếu chuyển kho.
 + Cancel: Quay trở lại form Phiếu chuyển kho.</t>
  </si>
  <si>
    <t>1. Ẩn/Hiện:
- Ẩn khi Người dùng mở form.
- Hiện khi người dùng đã nhấn nút Thêm hoặc Sửa.
2. Nhấn nút Lưu:
a. Kiểm tra thông tin nhập liệu về Kho:
- Thông tin Cửa hàng (UnitId), Loại chuyển kho, Kho chuyển (StockId), Kho nhận (StockId2)
- Kiểm tra thông tin theo Loại chuyển kho:
  + Nếu Loại chuyển = Trong cửa hàng: kiểm tra thông tin ô Đối tác (PartnerId) bắt buộc có dữ liệu.
  + Nếu Loại chuyển = Khác cửa hàng: kiểm tra thông tin ô Thợ (GoldSmithId) bắt buộc có dữ liệu. 
  + Ngược lại, khóa ko cho edit.
b. Kiểm tra thông tin Chi tiết Phiếu chuyển kho: 
- Nếu chưa có dữ liệu hiện thông báo "Bạn chưa điền đủ thông tin. Vui lòng kiểm tra lại." và không cho phép lưu dữ liệu. Ngược lại, thực hiện bước tiếp theo.
- Thông tin lưu xuống bảng Transaction:
 + TransactionType = 11 (Chuyển kho)
 + Cửa hàng (UnitId), Loại chuyển kho (TransferType), Kho chuyển (StockId), Kho nhận (StockId2), Cửa hàng nhận (UnitId2)
- Thông tin lưu xuống bảng TransactionDetail:
 + Các cột trong Chi tiết phiếu chuyển kho.
- Lưu dữ liệu và hiện thông báo "Thành công!".</t>
  </si>
  <si>
    <t>1. Ẩn/Hiện:
- Ẩn khi Người dùng mở form.
- Hiện khi người dùng chọn Phiếu chuyển kho có Trạng thái = Chờ duyệt.
2. Nhấn nút Hủy:
- Hiển thị thông báo: "Xác nhận Hủy Phiếu chuyển kho?".
+ Yes: Cập nhật Trạng thái của Phiếu chuyển kho = Hủy.
+ No: Quay về màn hình Phiếu chuyển kho.</t>
  </si>
  <si>
    <t>2. Nhấn nút Trình duyệt: Hiển thị thông báo: "Xác nhận Trình duyệt Phiếu chuyển kho?".
a. Yes: 
 a. Cập nhật Trạng thái của Phiếu chuyển kho = Chờ duyệt. 
b. No: 
 + Quay về màn hình Phiếu chuyển kho.</t>
  </si>
  <si>
    <r>
      <rPr>
        <rFont val="Calibri"/>
        <b/>
        <color theme="1"/>
        <sz val="11.0"/>
      </rPr>
      <t>1. Ẩn/Hiện:</t>
    </r>
    <r>
      <rPr>
        <rFont val="Calibri"/>
        <color theme="1"/>
        <sz val="11.0"/>
      </rPr>
      <t xml:space="preserve">
- Ẩn khi Người dùng mở form.
- Hiện khi người dùng chọn Phiếu chuyển kho có Trạng thái = Chờ duyệt.
</t>
    </r>
    <r>
      <rPr>
        <rFont val="Calibri"/>
        <b/>
        <color theme="1"/>
        <sz val="11.0"/>
      </rPr>
      <t>2. Nhấn nút Duyệt:</t>
    </r>
    <r>
      <rPr>
        <rFont val="Calibri"/>
        <color theme="1"/>
        <sz val="11.0"/>
      </rPr>
      <t xml:space="preserve"> Hiển thị thông báo: "Xác nhận Duyệt Phiếu chuyển kho?".
</t>
    </r>
    <r>
      <rPr>
        <rFont val="Calibri"/>
        <b/>
        <color theme="1"/>
        <sz val="11.0"/>
      </rPr>
      <t xml:space="preserve">a. Chọn Yes: </t>
    </r>
    <r>
      <rPr>
        <rFont val="Calibri"/>
        <color theme="1"/>
        <sz val="11.0"/>
      </rPr>
      <t xml:space="preserve">
- Thực hiện Cập nhật dữ liệu bảng Tồn kho (Inventory) đối với Kho chuyển (StockId): </t>
    </r>
    <r>
      <rPr>
        <rFont val="Calibri"/>
        <b/>
        <color theme="1"/>
        <sz val="11.0"/>
      </rPr>
      <t>Giống như Phiếu xuất kho</t>
    </r>
    <r>
      <rPr>
        <rFont val="Calibri"/>
        <color theme="1"/>
        <sz val="11.0"/>
      </rPr>
      <t xml:space="preserve">
- UnitId = Cửa hàng (trên Header)
- StockId = Kho chuyển
- ProductId = Loại vàng
- UnitOfMeasureId = ĐVT (c) (theo Detail)
- Thực hiện Cập nhật dữ liệu bảng Tồn kho (Inventory) đối với Kho nhận (StockId2): </t>
    </r>
    <r>
      <rPr>
        <rFont val="Calibri"/>
        <b/>
        <color theme="1"/>
        <sz val="11.0"/>
      </rPr>
      <t xml:space="preserve">Giống như Phiếu nhập kho
</t>
    </r>
    <r>
      <rPr>
        <rFont val="Calibri"/>
        <color theme="1"/>
        <sz val="11.0"/>
      </rPr>
      <t xml:space="preserve">- UnitId2 = Cửa hàng nhận (trên form)
- StockId2 = Kho nhận (StockId2)
- InventoryDate = Ngày duyệt  (trên Header)
- Cập nhật Trạng thái của Phiếu chuyển kho = Đã duyệt.
</t>
    </r>
    <r>
      <rPr>
        <rFont val="Calibri"/>
        <b/>
        <color theme="1"/>
        <sz val="11.0"/>
      </rPr>
      <t xml:space="preserve">b. No: 
</t>
    </r>
    <r>
      <rPr>
        <rFont val="Calibri"/>
        <color theme="1"/>
        <sz val="11.0"/>
      </rPr>
      <t xml:space="preserve"> + Quay về màn hình Phiếu chuyển kho.</t>
    </r>
  </si>
  <si>
    <r>
      <rPr>
        <rFont val="Calibri"/>
        <b/>
        <color rgb="FF000000"/>
        <sz val="11.0"/>
      </rPr>
      <t>I.Kiểm tra tồn kho:</t>
    </r>
    <r>
      <rPr>
        <rFont val="Calibri"/>
        <color rgb="FF000000"/>
        <sz val="11.0"/>
      </rPr>
      <t xml:space="preserve">
- Kiểm tra tồn kho của Kho chuyển: Điều kiện GoldWeight đủ để xuất của Kho chuyển (GoldWeight &gt;= GoldWeight trong bảng Inventory theo ProductId, ProductGroupId, ProductTypeId, StockId, UnitId có trên Phiếu chuyển kho)
1. Nếu thỏa điều kiện: Cập nhật bảng Inventory cho Kho chuyển và Kho nhận: Với mỗi Chi tiết phiếu chuyển kho: Kiểm tra bản ghi tồn tại trong Inventory theo ProductId, ProductGroupId, ProductTypeId, StockId, UnitId.
</t>
    </r>
    <r>
      <rPr>
        <rFont val="Calibri"/>
        <b/>
        <color rgb="FF000000"/>
        <sz val="11.0"/>
      </rPr>
      <t>a. Kho chuyển:</t>
    </r>
    <r>
      <rPr>
        <rFont val="Calibri"/>
        <color rgb="FF000000"/>
        <sz val="11.0"/>
      </rPr>
      <t xml:space="preserve">
- TotalWeight -= TotalWeight,
- DiamondWeight -= DiamondWeight,
- GoldWeight -= GoldWeight,
- Quantity -= Quantity ,
- TotalAmount -= TotalAmount ,
- UnitPrice = TotalAmount/1000/GoldWeight,
- LastUpdated = Ngày hiện tại.
- InventoryDate = Ngày hiện tại.
</t>
    </r>
    <r>
      <rPr>
        <rFont val="Calibri"/>
        <b/>
        <color rgb="FF000000"/>
        <sz val="11.0"/>
      </rPr>
      <t>b. Kho nhận:</t>
    </r>
    <r>
      <rPr>
        <rFont val="Calibri"/>
        <color rgb="FF000000"/>
        <sz val="11.0"/>
      </rPr>
      <t xml:space="preserve">
Với mỗi Chi tiết phiếu chuyển kho: Kiểm tra bản ghi tồn tại trong Inventory theo ProductId, ProductGroupId, ProductTypeId, và StockId, UnitId (nếu Loại chuyển kho = Trong cửa hàng) hoặc StockId2, UnitId2 (Nếu Loại chuyển kho = Khác cửa hàng).
</t>
    </r>
    <r>
      <rPr>
        <rFont val="Calibri"/>
        <b/>
        <color rgb="FF000000"/>
        <sz val="11.0"/>
      </rPr>
      <t>* Nếu tồn tại: Cập nhật:</t>
    </r>
    <r>
      <rPr>
        <rFont val="Calibri"/>
        <color rgb="FF000000"/>
        <sz val="11.0"/>
      </rPr>
      <t xml:space="preserve">
- TotalWeight += TotalWeight,
- DiamondWeight += DiamondWeight,
- GoldWeight += GoldWeight,
- Quantity += Quantity ,
- TotalAmount += TotalAmount ,
- UnitPrice = TotalAmount/1000/GoldWeight,
- LastUpdated = Ngày hiện tại.
- InventoryDate = Ngày hiện tại.
</t>
    </r>
    <r>
      <rPr>
        <rFont val="Calibri"/>
        <b/>
        <color rgb="FF000000"/>
        <sz val="11.0"/>
      </rPr>
      <t>* Nếu không tồn tại:</t>
    </r>
    <r>
      <rPr>
        <rFont val="Calibri"/>
        <color rgb="FF000000"/>
        <sz val="11.0"/>
      </rPr>
      <t xml:space="preserve">
Tạo bản ghi mới với InventoryId = NEWID() và các giá trị từ phiếu chuyển kho và Chi tiết phiếu chuyển kho.
- TotalWeight = TotalWeight,
- DiamondWeight = DiamondWeight,
- GoldWeight = GoldWeight,
- Quantity = Quantity ,
- TotalAmount = TotalAmount ,
- UnitPrice = TotalAmount/1000/GoldWeight,
- LastUpdated = Now()
- InventoryDate = Now()
</t>
    </r>
    <r>
      <rPr>
        <rFont val="Calibri"/>
        <b/>
        <color rgb="FF000000"/>
        <sz val="11.0"/>
      </rPr>
      <t>c. Ghi lịch sử vào bảng InventoryHistory:</t>
    </r>
    <r>
      <rPr>
        <rFont val="Calibri"/>
        <color rgb="FF000000"/>
        <sz val="11.0"/>
      </rPr>
      <t xml:space="preserve">
Cho mỗi chi tiết phiếu xuất kho: Tạo bản ghi với:
- HistoryId: GUID mới.
- TransactionId, TransactionDetailId: Liên kết với Transaction và TransactionDetails .
- TransactionType = 11.
- Kho chuyển: Thay đổi âm giống phiếu xuất kho
 + ProductId, ProductGroupId, ProductTypeId, StockId, TotalWeightChange = - TotalWeight, DiamondWeightChange = - DiamondWeight, GoldWeightChange = - GoldWeight, QuantityChange = - Quantity, UnitPrice = UnitPrice , TotalAmount = - TotalAmount .
   + BalanceTotalWeight, BalanceDiamondWeight, BalanceGoldWeight: Lấy từ Inventory sau khi cập nhật.
- Kho nhận: Thay đổi dương giống phiếu nhập kho
   + ProductId, ProductGroupId, ProductTypeId, StockId, TotalWeightChange = TotalWeight, DiamondWeightChange = DiamondWeight, GoldWeightChange = GoldWeight, QuantityChange = Quantity, UnitPrice = UnitPrice , TotalAmount = TotalAmount .
   + BalanceTotalWeight, BalanceDiamondWeight, BalanceGoldWeight: Lấy từ Inventory sau khi cập nhật.
- TransactionDate = DateCreated: Ngày hiện tại.
- Createdby = Current User.
</t>
    </r>
    <r>
      <rPr>
        <rFont val="Calibri"/>
        <b/>
        <color rgb="FF000000"/>
        <sz val="11.0"/>
      </rPr>
      <t>2. Nếu không thỏa điều kiện:</t>
    </r>
    <r>
      <rPr>
        <rFont val="Calibri"/>
        <color rgb="FF000000"/>
        <sz val="11.0"/>
      </rPr>
      <t xml:space="preserve"> Hiện thông báo "Không đủ tồn kho để chuyển, vui lòng kiểm tra lại!". Return;
</t>
    </r>
  </si>
  <si>
    <t>1. Ẩn/Hiện:
- Ẩn khi Người dùng mở form.
- Hiện khi người dùng chọn Phiếu chuyển kho có Trạng thái = Chờ duyệt.
2. Nhấn nút Không duyệt: Hiển thị thông báo: "Xác nhận Không duyệt Phiếu chuyển kho?".
- Yes: 
 + Cập nhật Trạng thái của Phiếu chuyển kho = Không duyệt. 
- No: Quay về màn hình Phiếu chuyển kho.</t>
  </si>
  <si>
    <t>1. Ẩn/Hiện:
- Luôn hiện
2. Nhấn nút Thoát:
- Đóng form Phiếu chuyển kho</t>
  </si>
  <si>
    <t>In mẫu phiếu A4 (chỉnh sửa lại form in đã có gồm các thông tin trên Phiếu chuyển kho)</t>
  </si>
  <si>
    <t>KIỂM KÊ</t>
  </si>
  <si>
    <t>Mô tả: Chỉnh sửa lại chức năng Kiểm kê cho phù hợp với Kho vàng</t>
  </si>
  <si>
    <t>Bảng dữ liệu liên quan: Product, Inventory, InventoryCheck, InventoryCheckDetail</t>
  </si>
  <si>
    <t xml:space="preserve">Yêu cầu:
1. Chỉnh sửa frmKiemKe
- Tab danh sách: 
+ Thêm 3 cột sau cột Số lượng: Trọng lượng tổng (TotalWeight), Trọng lượng vàng (GoldWeight), Trọng lượng đá (DiamondWeight), cách tính tương tự như cột Số lượng
+ Bỏ cột Tổng tiền (không bỏ cột trong database, nếu cần thay bằng 0)
- Tab chi tiết:
+ Thêm 3 cột sau cột Số lượng: Trọng lượng tổng (TotalWeight), Trọng lượng vàng (GoldWeight), Trọng lượng đá (DiamondWeight), cách tính tương tự như cột Số lượng
+ Bỏ cột Đơn giá, Thành tiền (không bỏ cột trong database, nếu cần thay bằng 0)
- Chỉnh sửa hàm lưu thông tin (btnLuu_ItemClick) để lưu được những cột thông tin mới vào bảng InventoryCheck, InventoryCheckDetail
- Check các button Sửa, Xóa còn hoạt động không?
- Chuyển trạng thái Phiếu kiểm kê, check xem có event nào kèm theo không?
- Cẩn thận khi chỉnh sửa store procedure TINH_TONKHO_DONVI (dùng chung nhiều)
- Bổ sung các cột mới cho chức năng In
- Kiểm tra chức năng ImportExcel có cần thêm cột mới không?
</t>
  </si>
  <si>
    <t>Đơn vị tính mặc định là Chỉ (bảng UnitOfMeasure)</t>
  </si>
  <si>
    <t>Thêm chức năng Áp tồn vào trong phần Tiện ích (như video), gọi hàm ApTon trong InventoryBus (public bool ApTon(string madvi))</t>
  </si>
  <si>
    <t>Các công việc cần làm</t>
  </si>
  <si>
    <t>NOTE</t>
  </si>
  <si>
    <r>
      <rPr>
        <rFont val="Calibri"/>
        <color theme="1"/>
      </rPr>
      <t xml:space="preserve">- </t>
    </r>
    <r>
      <rPr>
        <rFont val="Calibri"/>
        <b/>
        <color theme="1"/>
      </rPr>
      <t>Tab Danh sách</t>
    </r>
    <r>
      <rPr>
        <rFont val="Calibri"/>
        <color theme="1"/>
      </rPr>
      <t>: Thêm 3 cột sau cột Số lượng: Trọng lượng tổng , Trọng lượng vàng, Trọng lượng đá</t>
    </r>
  </si>
  <si>
    <t>DONE</t>
  </si>
  <si>
    <r>
      <rPr>
        <rFont val="Calibri"/>
        <color theme="1"/>
      </rPr>
      <t xml:space="preserve">- </t>
    </r>
    <r>
      <rPr>
        <rFont val="Calibri"/>
        <b/>
        <color theme="1"/>
      </rPr>
      <t>Tab Danh sách</t>
    </r>
    <r>
      <rPr>
        <rFont val="Calibri"/>
        <color theme="1"/>
      </rPr>
      <t>: Bỏ cột Tổng tiền</t>
    </r>
  </si>
  <si>
    <r>
      <rPr>
        <rFont val="Calibri"/>
        <color theme="1"/>
      </rPr>
      <t xml:space="preserve">- </t>
    </r>
    <r>
      <rPr>
        <rFont val="Calibri"/>
        <b/>
        <color theme="1"/>
      </rPr>
      <t>Tab Chi tiết</t>
    </r>
    <r>
      <rPr>
        <rFont val="Calibri"/>
        <color theme="1"/>
      </rPr>
      <t>: Thêm 3 cột sau cột Số lượng: Trọng lượng tổng, Trọng lượng vàng, Trọng lượng đá</t>
    </r>
  </si>
  <si>
    <r>
      <rPr>
        <rFont val="Calibri"/>
        <color theme="1"/>
      </rPr>
      <t xml:space="preserve">- </t>
    </r>
    <r>
      <rPr>
        <rFont val="Calibri"/>
        <b/>
        <color theme="1"/>
      </rPr>
      <t>Tab Chi tiết</t>
    </r>
    <r>
      <rPr>
        <rFont val="Calibri"/>
        <color theme="1"/>
      </rPr>
      <t>: Bỏ cột Đơn giá, Thành tiền</t>
    </r>
  </si>
  <si>
    <r>
      <rPr>
        <rFont val="Calibri"/>
        <color theme="1"/>
      </rPr>
      <t xml:space="preserve">- </t>
    </r>
    <r>
      <rPr>
        <rFont val="Calibri"/>
        <b/>
        <color theme="1"/>
      </rPr>
      <t>Tab Chi tiết</t>
    </r>
    <r>
      <rPr>
        <rFont val="Calibri"/>
        <color theme="1"/>
      </rPr>
      <t>: Chỉnh sửa hàm lưu thông tin để lưu được những cột thông tin mới vào bảng InventoryCheck, InventoryCheckDetail</t>
    </r>
  </si>
  <si>
    <r>
      <rPr>
        <rFont val="Calibri"/>
        <color theme="1"/>
      </rPr>
      <t xml:space="preserve">-  </t>
    </r>
    <r>
      <rPr>
        <rFont val="Calibri"/>
        <b/>
        <color theme="1"/>
      </rPr>
      <t>Tab Chi tiết</t>
    </r>
    <r>
      <rPr>
        <rFont val="Calibri"/>
        <color theme="1"/>
      </rPr>
      <t>: Check các button Sửa, Xóa</t>
    </r>
  </si>
  <si>
    <t>- Bổ sung các cột mới cho chức năng In</t>
  </si>
  <si>
    <t>- Kiểm tra chức năng ImportExcel</t>
  </si>
  <si>
    <t>PENDING</t>
  </si>
  <si>
    <t>Chưa có chức năng import</t>
  </si>
  <si>
    <t>- Chuyển trạng thái Phiếu kiểm kê</t>
  </si>
  <si>
    <t>-  Thêm chức năng Áp tồn vào trong phần Tiện ích</t>
  </si>
  <si>
    <t>Đổi sang gọi APTON_InventoryCheck (stored procedured)</t>
  </si>
  <si>
    <t>- Icon ở chức năng Áp tồn ở phần Tiện ích</t>
  </si>
  <si>
    <t>Em không tim thấy icon giống icon trong video nên em đang để tạm icon giống với chức năng Tính tồn. Nhờ anh Quang xin bạn anh Quang cho em sửa nha</t>
  </si>
  <si>
    <t>BÁO CÁO CHÊNH LỆCH TIỀN - VÀNG</t>
  </si>
  <si>
    <t>InvoiceCheck</t>
  </si>
  <si>
    <t>InvoiceCheckDetail</t>
  </si>
  <si>
    <t>InvoiceCheck.EmpName</t>
  </si>
  <si>
    <t>Số hóa đơn</t>
  </si>
  <si>
    <t>Ngày giao dịch</t>
  </si>
  <si>
    <t>TL Tổng</t>
  </si>
  <si>
    <t>TL hột</t>
  </si>
  <si>
    <t>TL Vàng</t>
  </si>
  <si>
    <t>Lệch tiền</t>
  </si>
  <si>
    <t>Lệch vàng</t>
  </si>
  <si>
    <t>Column</t>
  </si>
  <si>
    <t>InvoiceCheck.TransactionTypeId</t>
  </si>
  <si>
    <t>InvoiceCheck.BillCode</t>
  </si>
  <si>
    <t>InvoiceCheck.TrnDate</t>
  </si>
  <si>
    <t>InvoiceCheckDetailId.GoldCode</t>
  </si>
  <si>
    <t>InvoiceCheckDetailId.UnitOfMeasureCode</t>
  </si>
  <si>
    <t>InvoiceCheckDetailId.TotalWeight</t>
  </si>
  <si>
    <t>InvoiceCheckDetailId.DiamondWeight</t>
  </si>
  <si>
    <t>InvoiceCheckDetailId.GoldWeight</t>
  </si>
  <si>
    <t>InvoiceCheckDetailId.Rate</t>
  </si>
  <si>
    <t>InvoiceCheckDetailId.Amount</t>
  </si>
  <si>
    <t>InvoiceCheckDetailId.AmountDiff</t>
  </si>
  <si>
    <t>InvoiceCheckDetailId.GoldWeightDiff</t>
  </si>
  <si>
    <t>Mua bán</t>
  </si>
  <si>
    <t>CD21124141</t>
  </si>
  <si>
    <t>Chỉ</t>
  </si>
  <si>
    <t>Đổi bù</t>
  </si>
  <si>
    <t>CD21124142</t>
  </si>
  <si>
    <t>Mua dẻ</t>
  </si>
  <si>
    <t>CD21124143</t>
  </si>
  <si>
    <t>Italy 750</t>
  </si>
  <si>
    <t>Gram</t>
  </si>
  <si>
    <t>Tổng</t>
  </si>
  <si>
    <t>Table: InvoiceCheck &amp; InvoiceCheckDetail</t>
  </si>
  <si>
    <t>- Điều kiện: cột Lệch vàng &lt;&gt; 0, Trạng thái (CheckStatus) = Đã kiểm (Value = 2), Từ ngày &lt;= Ngày giao dịch (TrnDate) &lt;= Đến ngày, Cửa hàng (ShopId) = Cửa hàng.</t>
  </si>
  <si>
    <t>- Onchange: Cửa hàng, Từ ngày, Đến ngày: load lại data.</t>
  </si>
  <si>
    <t>TL Tổng 
(sau kiểm)</t>
  </si>
  <si>
    <t>TL hột 
(sau kiểm)</t>
  </si>
  <si>
    <t>TL Vàng 
(sau kiểm)</t>
  </si>
  <si>
    <t>Số lượng</t>
  </si>
  <si>
    <t>Lệch TL tổng</t>
  </si>
  <si>
    <t>Lệch TL hột</t>
  </si>
  <si>
    <t>InvoiceCheckDetailId.TotalWeightCheck</t>
  </si>
  <si>
    <t>InvoiceCheckDetailId.DiamondWeightCheck</t>
  </si>
  <si>
    <t>InvoiceCheckDetailId.GoldWeightCheck</t>
  </si>
  <si>
    <t>InvoiceCheckDetailId.QuantityCheck</t>
  </si>
  <si>
    <t>InvoiceCheckDetailId.TotalWeightDiff</t>
  </si>
  <si>
    <t>InvoiceCheckDetailId.DiamondWeightDiff</t>
  </si>
  <si>
    <t>KIỂM TỒN</t>
  </si>
  <si>
    <t>Mô tả: Chỉnh sửa chức năng Kiểm tồn cho phù hợp với hệ thống Kho dành cho sản phẩm Vàng</t>
  </si>
  <si>
    <t>Dữ liệu: Đọc dữ liệu từ bảng Inventory (Dữ liệu tồn kho), theo Cửa hàng (UnitID), Kho hàng (StockID), theo ngày trên giao diện (InventoryDate)</t>
  </si>
  <si>
    <t>Yêu cầu
- Thêm cột trên giao diện tab Chi tiết cho chức năng kiểm tồn (vị trí như bên dưới)
- Bảng của Phiếu kiểm tồn: Transaction, TransactionDetail (TransactionType: 5)
- Số lượng: chỉnh thành bộ Số lượng, Trọng lượng tổng, Trọng lượng hột, Trọng lượng vàng
- Số tồn: chỉnh thành bộ Số tồn, Trọng lượng tồn, Trọng lượng hột tồn, Trọng lượng vàng tồn
- Chênh lệch: chỉnh thành bộ Chênh lệch, Trọng lượng chênh lệch, Trọng lượng hột chênh lệch, Trọng lượng vàng chênh lệch
- Thêm button Trình duyệt, Duyệt, Không duyệt để thực hiện cập nhật trạng thái cho Phiếu kiểm tồn (hoặc tìm cách phân quyền chọn cái combobox Trạng thái của phiếu kiểm tồn (Lưu tạm, ...)
- Chỉnh sửa lỗi khi lưu nếu có (vì có thêm cột vào Entity, có thể lưu transaction sẽ null và lỗi những cột mới (btnLuu_ItemClick)</t>
  </si>
  <si>
    <t>Bộ nút: Trình duyệt, Duyệt, Không duyệt (nếu cần thêm mới)
- Nhấn Lưu: Lưu tạm
- Hiện bộ nút Trình duyệt, Duyệt, Không duyệt</t>
  </si>
  <si>
    <t>Chức năng Trình duyệt:
- Ghi dữ liệu xuống phiếu, thay đổi trạng thái 
+ Trình duyệt: Chờ duyệt
+ Duyệt: Đã duyệt
+ Không duyệt: Không duyệt</t>
  </si>
  <si>
    <t>Thay đổi trong phần Chi tiết (tab Chi tiết)</t>
  </si>
  <si>
    <t>Mã loại vàng</t>
  </si>
  <si>
    <t>Tên loại vàng</t>
  </si>
  <si>
    <t>Trọng lượng tổng</t>
  </si>
  <si>
    <t>Trọng lượng hột</t>
  </si>
  <si>
    <t>Trọng lượng vàng</t>
  </si>
  <si>
    <t>Số tồn</t>
  </si>
  <si>
    <t>Trọng lượng tồn</t>
  </si>
  <si>
    <t>Trọng lượng hột tồn</t>
  </si>
  <si>
    <t>Trọng lượng vàng tồn</t>
  </si>
  <si>
    <t>Chênh lệch</t>
  </si>
  <si>
    <t>Trọng lượng chênh lệch</t>
  </si>
  <si>
    <t>Trọng lượng hột chênh lệch</t>
  </si>
  <si>
    <t xml:space="preserve">Trọng lượng vàng chênh lệch </t>
  </si>
  <si>
    <t>Thành tiền CL</t>
  </si>
  <si>
    <t>Bỏ qua, có thể gán 0 để đừng crash, đừng bỏ cột database</t>
  </si>
  <si>
    <t>Note</t>
  </si>
  <si>
    <t>- Thêm cột trong tab Chi tiết</t>
  </si>
  <si>
    <t>- Chức năng: thêm/sửa/xóa phiếu</t>
  </si>
  <si>
    <t>- Chức năng: trình duyệt/duyệt/không duyệt</t>
  </si>
  <si>
    <t>Sử dụng combox phân quyền từng user</t>
  </si>
  <si>
    <t>- Chỉnh sửa tab Danh sách</t>
  </si>
  <si>
    <t>Bỏ các cột trên giao diện (Tổng Tiền, %CK, Tiền chiết khấu, Tiền thanh toán, HTTT), thêm các cột (Trọng lượng tổng, trọng lượng vàng, trọng lượng hột)</t>
  </si>
  <si>
    <t>- Sửa các cột trong phiếu in</t>
  </si>
  <si>
    <t>BẢNG THEO DÕI TASK - ISSUES</t>
  </si>
  <si>
    <t>Nhóm</t>
  </si>
  <si>
    <t>Đối tượng</t>
  </si>
  <si>
    <t>Loại xử lý</t>
  </si>
  <si>
    <t>Đối tượng xử lý</t>
  </si>
  <si>
    <t>Ngày hoàn thành</t>
  </si>
  <si>
    <t>Nhóm Danh mục</t>
  </si>
  <si>
    <t>Tên đối tượng</t>
  </si>
  <si>
    <t>Form, Grid</t>
  </si>
  <si>
    <t>Loại xử lý (Button, Show/hide, ...)</t>
  </si>
  <si>
    <t>Mô tả chức năng chi tiết</t>
  </si>
  <si>
    <t>Mở khóa các field trên form Thông tin chi tiết.
Show field Cập nhật và Thoát</t>
  </si>
  <si>
    <t>Cập nhật</t>
  </si>
  <si>
    <t>Grid</t>
  </si>
  <si>
    <t>Onclick</t>
  </si>
  <si>
    <t>Load data lên form Thông tin chi tiết và không cho edit</t>
  </si>
  <si>
    <t>DANH MỤC TÀI KHOẢN</t>
  </si>
  <si>
    <t>Số tài khoản</t>
  </si>
  <si>
    <t>Tên tài khoản</t>
  </si>
  <si>
    <t>Loại tài khoản</t>
  </si>
  <si>
    <t>Tài khoản đối ứng</t>
  </si>
  <si>
    <t>Tiền gửi ngân hàng</t>
  </si>
  <si>
    <t>TK Nợ, TK Có</t>
  </si>
  <si>
    <t>131, 331</t>
  </si>
  <si>
    <t>Áp dụng chuyển khoản cho hình thức thanh toán (4)</t>
  </si>
  <si>
    <t>Tiền mặt</t>
  </si>
  <si>
    <t>Áp dụng cho hình thức thanh toán (4)</t>
  </si>
  <si>
    <t>Doanh thu bán hàng</t>
  </si>
  <si>
    <t>TK Có</t>
  </si>
  <si>
    <t>Áp dụng cho doanh thu bán hàng (1)</t>
  </si>
  <si>
    <t>Doanh thu khác</t>
  </si>
  <si>
    <t>Nhập vàng nguyên liệu</t>
  </si>
  <si>
    <t>TK Nợ</t>
  </si>
  <si>
    <t>Áp dụng cho nhập dẻ (2)</t>
  </si>
  <si>
    <t>Phải trả khách hàng</t>
  </si>
  <si>
    <t>1121, 1111</t>
  </si>
  <si>
    <t>Áp dụng cho hình thức thanh toán (3) (4)</t>
  </si>
  <si>
    <t>Phải thu khách hàng</t>
  </si>
  <si>
    <t>Đặt cọc</t>
  </si>
  <si>
    <t>CÁC BƯỚC THỰC HIỆN</t>
  </si>
  <si>
    <t>Bước 1</t>
  </si>
  <si>
    <t>Tính doanh thu bán hàng</t>
  </si>
  <si>
    <t>Bán hàng: Mua bán, Đổi bù</t>
  </si>
  <si>
    <t>Phí quẹt thẻ</t>
  </si>
  <si>
    <t>Bước 2</t>
  </si>
  <si>
    <t>Bước 3</t>
  </si>
  <si>
    <t>Thực hiện bù trừ:
- Doanh thu &gt; Chi phí (nhập vàng NL): Lấy chi phí
- Doanh thu &lt; Chi phí (nhập vàng NL): Lấy doanh thu
- Doanh thu = Chi phí (nhập vàng NL): Lấy doanh thu</t>
  </si>
  <si>
    <t>Bước 4</t>
  </si>
  <si>
    <t>Tiền đặt cọc</t>
  </si>
  <si>
    <t>Thanh toán</t>
  </si>
  <si>
    <t>Loại hạch toán</t>
  </si>
  <si>
    <t>Mã</t>
  </si>
  <si>
    <t>Tên</t>
  </si>
  <si>
    <t>DT</t>
  </si>
  <si>
    <t>Doanh thu</t>
  </si>
  <si>
    <t>PQT</t>
  </si>
  <si>
    <t>Phí quẹt thẻ/chuyển khoản</t>
  </si>
  <si>
    <t>NDE</t>
  </si>
  <si>
    <t>Nhập dẻ</t>
  </si>
  <si>
    <t>BTR</t>
  </si>
  <si>
    <t>Bù trừ</t>
  </si>
  <si>
    <t>DTC</t>
  </si>
  <si>
    <t>TT</t>
  </si>
  <si>
    <t>FORM QUẢN LÝ QUÀ TẶNG</t>
  </si>
  <si>
    <t>DANH SÁCH QUÀ TẶNG</t>
  </si>
  <si>
    <t>Ngày nhập</t>
  </si>
  <si>
    <t>Mã quà tặng</t>
  </si>
  <si>
    <t>Tên quà tặng</t>
  </si>
  <si>
    <t>ĐVT</t>
  </si>
  <si>
    <t>Thuế (%)</t>
  </si>
  <si>
    <t>Thành tiền (Chưa VAT)</t>
  </si>
  <si>
    <t>Thành tiền (VAT)</t>
  </si>
  <si>
    <t>30/10/2025</t>
  </si>
  <si>
    <t>Kho quà tặng</t>
  </si>
  <si>
    <t>QT001</t>
  </si>
  <si>
    <t>Mũ bảo hiểm</t>
  </si>
  <si>
    <t>Cái</t>
  </si>
  <si>
    <t>QT002</t>
  </si>
  <si>
    <t>Áo mưa</t>
  </si>
  <si>
    <t>QT003</t>
  </si>
  <si>
    <t>Túi xách</t>
  </si>
  <si>
    <t>TẠO QUÀ TẶNG</t>
  </si>
  <si>
    <t>Nhập liệu lưới Chi tiết Phiếu tặng quà</t>
  </si>
  <si>
    <t>DANH SÁCH PHIẾU TẶNG QUÀ</t>
  </si>
  <si>
    <t>Cập nhật HĐĐT</t>
  </si>
  <si>
    <t>Mã phiếu</t>
  </si>
  <si>
    <t>Ngày tặng</t>
  </si>
  <si>
    <t>Loại tặng quà</t>
  </si>
  <si>
    <t>Số HĐĐT</t>
  </si>
  <si>
    <t>Ngày HĐĐT</t>
  </si>
  <si>
    <t>Khách hàng</t>
  </si>
  <si>
    <t>SĐT</t>
  </si>
  <si>
    <t>CCCD</t>
  </si>
  <si>
    <t>Theo Hóa đơn</t>
  </si>
  <si>
    <t>Cập nhật HĐ</t>
  </si>
  <si>
    <t>Theo Khách hàng</t>
  </si>
  <si>
    <t>FORM TẶNG QUÀ KHÁCH HÀNG</t>
  </si>
  <si>
    <t>THÔNG TIN CHUNG</t>
  </si>
  <si>
    <t>TỒN KHO QUÀ TẶNG</t>
  </si>
  <si>
    <t>Số HĐ phần mềm</t>
  </si>
  <si>
    <t>Ngày HĐ phần mềm</t>
  </si>
  <si>
    <t>Số lượng tồn</t>
  </si>
  <si>
    <t>Ngày sinh</t>
  </si>
  <si>
    <t>Giới tính</t>
  </si>
  <si>
    <t>Địa chỉ</t>
  </si>
  <si>
    <t>Số HĐ phần mềm 2</t>
  </si>
  <si>
    <t>Số HĐĐT 2</t>
  </si>
  <si>
    <t>Ngày HĐĐT 2</t>
  </si>
  <si>
    <t>Người nhận</t>
  </si>
  <si>
    <t>SĐT người nhận</t>
  </si>
  <si>
    <t>CCCD người nhận</t>
  </si>
  <si>
    <t>THÔNG TIN QUÀ TẶNG</t>
  </si>
  <si>
    <t>In phiếu</t>
  </si>
  <si>
    <t>Chi nhánh</t>
  </si>
  <si>
    <t>Chi nhánh 1</t>
  </si>
  <si>
    <t>Tìm kiếm</t>
  </si>
  <si>
    <t>SĐT/CCCD</t>
  </si>
  <si>
    <t>In phiếu 1</t>
  </si>
  <si>
    <t>In phiếu 2</t>
  </si>
  <si>
    <t>cai dat in 1 lan 2 phieu</t>
  </si>
  <si>
    <t>cai dat in 1 phieu</t>
  </si>
  <si>
    <t>FORM DANH SÁCH HÓA ĐƠN CHƯA TẶNG QUÀ</t>
  </si>
  <si>
    <t>Lọc những Hóa đơn chưa được tặng quà: So sánh các Hóa đơn trên PMV so với các Số HĐ đã tặng quà trên PM Soạn dẻ</t>
  </si>
  <si>
    <t>DANH SÁCH HÓA ĐƠN</t>
  </si>
  <si>
    <t>Chọn (Chỉ chọn 1)</t>
  </si>
  <si>
    <t>FORM BẢNG KÊ TẶNG QUÀ KHÁCH HÀNG</t>
  </si>
  <si>
    <t>Cập nhật HDDT</t>
  </si>
  <si>
    <t>Số HĐ</t>
  </si>
  <si>
    <t>Ngày HĐ</t>
  </si>
  <si>
    <t>Tên hàng hóa</t>
  </si>
  <si>
    <t>Số điện thoại</t>
  </si>
  <si>
    <t>Ký nhận</t>
  </si>
  <si>
    <t>Báo cáo thống kê quà tặng theo ngày</t>
  </si>
  <si>
    <t>BÁO CÁO PHÂN LOẠI HÀNG THEO LOẠI VÀNG</t>
  </si>
  <si>
    <t>Hàng nguyên</t>
  </si>
  <si>
    <t>Hàng hư</t>
  </si>
  <si>
    <t>Hàng sửa</t>
  </si>
  <si>
    <t>SL</t>
  </si>
  <si>
    <t>Tổng SL</t>
  </si>
  <si>
    <t>Tổng TL</t>
  </si>
  <si>
    <t>Tổng TL hột</t>
  </si>
  <si>
    <t>Tổng TL vàng</t>
  </si>
  <si>
    <t>Vàng 610</t>
  </si>
  <si>
    <t>Vàng 750Gram</t>
  </si>
  <si>
    <t>Table:</t>
  </si>
  <si>
    <r>
      <rPr>
        <rFont val="Calibri"/>
        <b/>
        <color theme="1"/>
      </rPr>
      <t xml:space="preserve">- Điều kiện: </t>
    </r>
    <r>
      <rPr>
        <rFont val="Calibri"/>
        <color theme="1"/>
      </rPr>
      <t xml:space="preserve"> Từ ngày &lt;= Ngày tạo (GroupInvoiceDetail.CreatedOn) &lt;= Đến ngày, Cửa hàng (GroupInvoiceDetail.UnitId) = Cửa hàng (lkDonVi).</t>
    </r>
  </si>
  <si>
    <r>
      <rPr>
        <rFont val="Calibri"/>
        <b/>
        <color theme="1"/>
      </rPr>
      <t>Nút Xem:</t>
    </r>
    <r>
      <rPr>
        <rFont val="Calibri"/>
        <color theme="1"/>
      </rPr>
      <t xml:space="preserve">
- Tính tổng các cột:
 + Số lượng (Quantity) = SUM cột Quantity
 + TL tổng (TotalWeight) = SUM cột TotalWeight
 + TL hột (DiamondWeight) = = SUM cột DiamondWeight
 + TL vàng (GoldWeight) = SUM cột GoldWeight
</t>
    </r>
    <r>
      <rPr>
        <rFont val="Calibri"/>
        <b/>
        <color theme="1"/>
      </rPr>
      <t>Group by</t>
    </r>
    <r>
      <rPr>
        <rFont val="Calibri"/>
        <color theme="1"/>
      </rPr>
      <t xml:space="preserve"> theo Loại vàng (GroupInvoiceDetail.GoldCode), ĐVT (GroupInvoiceDetail.UnitOfMeasureCode) và Tình trạng hàng (GroupInvoiceDetail.ProductTypeId)</t>
    </r>
  </si>
  <si>
    <t>BÁO CÁO THAY ĐỔI LOẠI VÀNG</t>
  </si>
  <si>
    <t>Table: InvoiceCheck</t>
  </si>
  <si>
    <t>Table: InvoiceCheckDetail</t>
  </si>
  <si>
    <t>Table: GroupInvoiceDetail</t>
  </si>
  <si>
    <t>Giờ giao dịch</t>
  </si>
  <si>
    <t>Nhân viên giao dịch</t>
  </si>
  <si>
    <t>Nhân viên kiểm</t>
  </si>
  <si>
    <t>Ngày kiểm</t>
  </si>
  <si>
    <t>Loại vàng kiểm</t>
  </si>
  <si>
    <t>TransactionTypeName</t>
  </si>
  <si>
    <t>BillCode</t>
  </si>
  <si>
    <t>TrnDate</t>
  </si>
  <si>
    <t>TrnTime</t>
  </si>
  <si>
    <t>EmpName</t>
  </si>
  <si>
    <t>CheckedEmpId</t>
  </si>
  <si>
    <t>CheckedDate</t>
  </si>
  <si>
    <t>GoldCode</t>
  </si>
  <si>
    <t>UnitOfMeasureName</t>
  </si>
  <si>
    <t>Table: InvoiceCheck, InvoiceCheckDetail, GroupInvoiceDetail</t>
  </si>
  <si>
    <t>Chức năng:</t>
  </si>
  <si>
    <r>
      <rPr>
        <rFont val="Calibri"/>
        <b/>
        <color theme="1"/>
      </rPr>
      <t xml:space="preserve">- Điều kiện: </t>
    </r>
    <r>
      <rPr>
        <rFont val="Calibri"/>
        <color theme="1"/>
      </rPr>
      <t>Từ ngày &lt;= Hóa đơn.Ngày giao dịch (InvoiceCheck.TrnDate) &lt;= Đến ngày, Hóa đơn.Cửa hàng (InvoiceCheck.ShopId) = Cửa hàng, InvoiceCheck.CheckStatus = 2</t>
    </r>
  </si>
  <si>
    <r>
      <rPr>
        <rFont val="Calibri"/>
        <b/>
        <color theme="1"/>
      </rPr>
      <t xml:space="preserve">- Xem: </t>
    </r>
    <r>
      <rPr>
        <rFont val="Calibri"/>
        <color theme="1"/>
      </rPr>
      <t>Change Cửa hàng, Loại giao dịch, Từ ngày, Đến ngày: load lại data.</t>
    </r>
  </si>
  <si>
    <r>
      <rPr>
        <rFont val="Calibri"/>
        <b/>
        <color theme="1"/>
      </rPr>
      <t xml:space="preserve">- Xuất Excel: </t>
    </r>
    <r>
      <rPr>
        <rFont val="Calibri"/>
        <b val="0"/>
        <color theme="1"/>
      </rPr>
      <t xml:space="preserve"> Xuất dữ liệu theo grid dữ liệu phía trên ra file excel</t>
    </r>
  </si>
  <si>
    <t xml:space="preserve">Điều kiện join: </t>
  </si>
  <si>
    <r>
      <rPr>
        <rFont val="Calibri"/>
        <b/>
        <color theme="1"/>
      </rPr>
      <t>InvoiceCheck</t>
    </r>
    <r>
      <rPr>
        <rFont val="Calibri"/>
        <color theme="1"/>
      </rPr>
      <t xml:space="preserve"> LEFT JOIN </t>
    </r>
    <r>
      <rPr>
        <rFont val="Calibri"/>
        <b/>
        <color theme="1"/>
      </rPr>
      <t>InvoiceCheckDetail</t>
    </r>
    <r>
      <rPr>
        <rFont val="Calibri"/>
        <color theme="1"/>
      </rPr>
      <t xml:space="preserve"> WHERE InvoiceCheckDetail.InvoiceCheckId = InvoiceCheck.InvoiceCheckId</t>
    </r>
  </si>
  <si>
    <r>
      <rPr>
        <rFont val="Calibri"/>
        <b/>
        <color theme="1"/>
      </rPr>
      <t>InvoiceCheckDetail</t>
    </r>
    <r>
      <rPr>
        <rFont val="Calibri"/>
        <color theme="1"/>
      </rPr>
      <t xml:space="preserve"> LEFT JOIN </t>
    </r>
    <r>
      <rPr>
        <rFont val="Calibri"/>
        <b/>
        <color theme="1"/>
      </rPr>
      <t xml:space="preserve">GroupInvoiceDetail </t>
    </r>
    <r>
      <rPr>
        <rFont val="Calibri"/>
        <color theme="1"/>
      </rPr>
      <t>WHERE InvoiceCheckDetail.InvoiceCheckDetailId = GroupInvoiceDetail.InvoiceCheckDetailId</t>
    </r>
  </si>
  <si>
    <t>ORDER BY BillCode;</t>
  </si>
  <si>
    <t>BÁO CÁO TỔNG HỢP TRỌNG LƯỢNG THEO LOẠI VÀNG</t>
  </si>
  <si>
    <t>TL tổng</t>
  </si>
  <si>
    <t>TL vàng</t>
  </si>
  <si>
    <t>TL tổng (chỉ)</t>
  </si>
  <si>
    <t>TL hột (chỉ)</t>
  </si>
  <si>
    <t>TL vàng (chỉ)</t>
  </si>
  <si>
    <t>TotalWeight</t>
  </si>
  <si>
    <t>DiamondWeight</t>
  </si>
  <si>
    <t>GoldWeight</t>
  </si>
  <si>
    <t>TotalWeight2</t>
  </si>
  <si>
    <t>DiamondWeight2</t>
  </si>
  <si>
    <t>GoldWeight2</t>
  </si>
  <si>
    <t>Table: InvoiceCheck, InvoiceCheckDetail</t>
  </si>
  <si>
    <r>
      <rPr>
        <rFont val="Calibri"/>
        <b/>
        <color theme="1"/>
      </rPr>
      <t xml:space="preserve">1. Nút Xem: 
a. Tính toán dữ liệu trước kiểm:
Điều kiện lọc: </t>
    </r>
    <r>
      <rPr>
        <rFont val="Calibri"/>
        <color theme="1"/>
      </rPr>
      <t>Từ ngày &lt;= Hóa đơn.Ngày giao dịch (InvoiceCheck.TrnDate) &lt;= Đến ngày, Hóa đơn.Cửa hàng (InvoiceCheck.ShopId) = Cửa hàng, InvoiceCheckDetail.InvoiceCheckId = InvoiceCheck.InvoiceCheckId
- Sum dữ liệu các cột trong bảng InvoiceCheckDetail với</t>
    </r>
    <r>
      <rPr>
        <rFont val="Calibri"/>
        <b/>
        <color theme="1"/>
      </rPr>
      <t xml:space="preserve"> </t>
    </r>
    <r>
      <rPr>
        <rFont val="Calibri"/>
        <color theme="1"/>
      </rPr>
      <t xml:space="preserve">:
 + </t>
    </r>
    <r>
      <rPr>
        <rFont val="Calibri"/>
        <b/>
        <color theme="1"/>
      </rPr>
      <t>TL tổng</t>
    </r>
    <r>
      <rPr>
        <rFont val="Calibri"/>
        <color theme="1"/>
      </rPr>
      <t xml:space="preserve"> = SUM (InvoiceCheckDetail.TotalWeight)
 + </t>
    </r>
    <r>
      <rPr>
        <rFont val="Calibri"/>
        <b/>
        <color theme="1"/>
      </rPr>
      <t>TL hột</t>
    </r>
    <r>
      <rPr>
        <rFont val="Calibri"/>
        <color theme="1"/>
      </rPr>
      <t xml:space="preserve"> = SUM (InvoiceCheckDetail.DiamondWeight)
 + </t>
    </r>
    <r>
      <rPr>
        <rFont val="Calibri"/>
        <b/>
        <color theme="1"/>
      </rPr>
      <t>TL vàng</t>
    </r>
    <r>
      <rPr>
        <rFont val="Calibri"/>
        <color theme="1"/>
      </rPr>
      <t xml:space="preserve"> = SUM (InvoiceCheckDetail.GoldWeight)</t>
    </r>
    <r>
      <rPr>
        <rFont val="Calibri"/>
        <b/>
        <color theme="1"/>
      </rPr>
      <t xml:space="preserve"> </t>
    </r>
    <r>
      <rPr>
        <rFont val="Calibri"/>
        <color theme="1"/>
      </rPr>
      <t xml:space="preserve">
</t>
    </r>
    <r>
      <rPr>
        <rFont val="Calibri"/>
        <b/>
        <color theme="1"/>
      </rPr>
      <t>GROUP BY</t>
    </r>
    <r>
      <rPr>
        <rFont val="Calibri"/>
        <color theme="1"/>
      </rPr>
      <t xml:space="preserve"> </t>
    </r>
    <r>
      <rPr>
        <rFont val="Calibri"/>
        <b/>
        <color theme="1"/>
      </rPr>
      <t xml:space="preserve">theo cột InvoiceCheckDetail.GoldCode
</t>
    </r>
    <r>
      <rPr>
        <rFont val="Calibri"/>
        <color theme="1"/>
      </rPr>
      <t xml:space="preserve">
</t>
    </r>
    <r>
      <rPr>
        <rFont val="Calibri"/>
        <b/>
        <color theme="1"/>
      </rPr>
      <t xml:space="preserve">b. Tính toán dữ liệu sau kiểm:
Điều kiện lọc: </t>
    </r>
    <r>
      <rPr>
        <rFont val="Calibri"/>
        <color theme="1"/>
      </rPr>
      <t>Từ ngày &lt;= Hóa đơn.Ngày giao dịch (InvoiceCheck.TrnDate) &lt;= Đến ngày, Hóa đơn.Cửa hàng (InvoiceCheck.ShopId) = Cửa hàng, Phân loại hàng.InvoiceCheckId (GroupInvoiceDetail.InvoiceCheckId) = Hóa đơn.InvoiceCheckId (InvoiceCheck.InvoiceCheckId):</t>
    </r>
    <r>
      <rPr>
        <rFont val="Calibri"/>
        <b/>
        <color theme="1"/>
      </rPr>
      <t xml:space="preserve">
</t>
    </r>
    <r>
      <rPr>
        <rFont val="Calibri"/>
        <color theme="1"/>
      </rPr>
      <t xml:space="preserve">- Sum dữ liệu các cột trong bảng GroupInvoiceDetail:
 </t>
    </r>
    <r>
      <rPr>
        <rFont val="Calibri"/>
        <b/>
        <color theme="1"/>
      </rPr>
      <t>+ TL tổng</t>
    </r>
    <r>
      <rPr>
        <rFont val="Calibri"/>
        <color theme="1"/>
      </rPr>
      <t xml:space="preserve"> = SUM (GroupInvoiceDetail.TotalWeight)
</t>
    </r>
    <r>
      <rPr>
        <rFont val="Calibri"/>
        <b/>
        <color theme="1"/>
      </rPr>
      <t xml:space="preserve"> + TL hột</t>
    </r>
    <r>
      <rPr>
        <rFont val="Calibri"/>
        <color theme="1"/>
      </rPr>
      <t xml:space="preserve"> = SUM (GroupInvoiceDetail.DiamondWeight)
 </t>
    </r>
    <r>
      <rPr>
        <rFont val="Calibri"/>
        <b/>
        <color theme="1"/>
      </rPr>
      <t>+ TL vàng</t>
    </r>
    <r>
      <rPr>
        <rFont val="Calibri"/>
        <color theme="1"/>
      </rPr>
      <t xml:space="preserve"> = SUM (GroupInvoiceDetail.GoldWeight)
</t>
    </r>
    <r>
      <rPr>
        <rFont val="Calibri"/>
        <b/>
        <color theme="1"/>
      </rPr>
      <t>GROUP BY theo cột GroupInvoiceDetail.GoldCode</t>
    </r>
    <r>
      <rPr>
        <rFont val="Calibri"/>
        <color theme="1"/>
      </rPr>
      <t xml:space="preserve">
</t>
    </r>
    <r>
      <rPr>
        <rFont val="Calibri"/>
        <b/>
        <color theme="1"/>
      </rPr>
      <t>c. Tính toán dữ liệu các cột quy về chỉ TL tổng (chỉ), TL hột (chỉ), TL vàng (chỉ): 
- Nếu Loại vàng có ĐVT != Chỉ (UnitOfMeasureCode = C):</t>
    </r>
    <r>
      <rPr>
        <rFont val="Calibri"/>
        <color theme="1"/>
      </rPr>
      <t xml:space="preserve">
 + TL tổng (chỉ) = TotalWeight</t>
    </r>
    <r>
      <rPr>
        <rFont val="Calibri"/>
        <b/>
        <color theme="1"/>
      </rPr>
      <t>/3.75</t>
    </r>
    <r>
      <rPr>
        <rFont val="Calibri"/>
        <color theme="1"/>
      </rPr>
      <t xml:space="preserve">
 + TL hột (chỉ) = DiamondWeight</t>
    </r>
    <r>
      <rPr>
        <rFont val="Calibri"/>
        <b/>
        <color theme="1"/>
      </rPr>
      <t>/3.75</t>
    </r>
    <r>
      <rPr>
        <rFont val="Calibri"/>
        <color theme="1"/>
      </rPr>
      <t xml:space="preserve">
 + TL vàng (chỉ) = GoldWeight</t>
    </r>
    <r>
      <rPr>
        <rFont val="Calibri"/>
        <b/>
        <color theme="1"/>
      </rPr>
      <t>/3.75</t>
    </r>
    <r>
      <rPr>
        <rFont val="Calibri"/>
        <color theme="1"/>
      </rPr>
      <t xml:space="preserve">
</t>
    </r>
    <r>
      <rPr>
        <rFont val="Calibri"/>
        <b/>
        <color theme="1"/>
      </rPr>
      <t xml:space="preserve">- Ngược lại: </t>
    </r>
    <r>
      <rPr>
        <rFont val="Calibri"/>
        <color theme="1"/>
      </rPr>
      <t xml:space="preserve">
 + TL tổng (chỉ) = TotalWeight
 + TL hột (chỉ) = DiamondWeight
 + TL vàng (chỉ) = GoldWeight
</t>
    </r>
    <r>
      <rPr>
        <rFont val="Calibri"/>
        <b/>
        <color theme="1"/>
      </rPr>
      <t xml:space="preserve">d. Khi Change Cửa hàng, Từ ngày, Đến ngày: </t>
    </r>
    <r>
      <rPr>
        <rFont val="Calibri"/>
        <color theme="1"/>
      </rPr>
      <t>Load lại dữ liệu.</t>
    </r>
  </si>
  <si>
    <t>2. Nút TL theo Loại vàng trước kiểm: Tính theo mục 1.a</t>
  </si>
  <si>
    <t>3. Nút TL theo Loại vàng sau kiểm: Tính theo mục 1.b</t>
  </si>
  <si>
    <r>
      <rPr>
        <rFont val="Calibri"/>
        <b/>
        <color theme="1"/>
      </rPr>
      <t xml:space="preserve">4. Nút Xuất Excel: </t>
    </r>
    <r>
      <rPr>
        <rFont val="Calibri"/>
        <b val="0"/>
        <color theme="1"/>
      </rPr>
      <t xml:space="preserve"> Xuất dữ liệu theo grid dữ liệu phía trên ra file excel</t>
    </r>
  </si>
  <si>
    <r>
      <rPr>
        <rFont val="Calibri"/>
        <b/>
        <color rgb="FFFF0000"/>
      </rPr>
      <t xml:space="preserve">Lưu ý: 
</t>
    </r>
    <r>
      <rPr>
        <rFont val="Calibri"/>
        <b/>
        <color theme="1"/>
      </rPr>
      <t>- GodeCode chính là ProductId trong bảng Product.
- UnitOfMeasureCode = C: lấy từ Bảng UnitOfMeasure theo Product</t>
    </r>
  </si>
  <si>
    <t>BÁO CÁO TỔNG HỢP TRỌNG LƯỢNG THEO LOẠI VÀNG
(Sau kiểm)</t>
  </si>
  <si>
    <r>
      <rPr>
        <rFont val="Calibri"/>
        <b/>
        <color theme="1"/>
      </rPr>
      <t>1. Nút Xem: 
a. Tính toán dữ liệu:</t>
    </r>
    <r>
      <rPr>
        <rFont val="Calibri"/>
        <color theme="1"/>
      </rPr>
      <t xml:space="preserve">
- Sum dữ liệu các cột trong bảng GroupInvoiceDetail với</t>
    </r>
    <r>
      <rPr>
        <rFont val="Calibri"/>
        <b/>
        <color theme="1"/>
      </rPr>
      <t xml:space="preserve"> Điều kiện lọc: </t>
    </r>
    <r>
      <rPr>
        <rFont val="Calibri"/>
        <color theme="1"/>
      </rPr>
      <t xml:space="preserve">Từ ngày &lt;= Hóa đơn.Ngày giao dịch (InvoiceCheck.TrnDate) &lt;= Đến ngày, Hóa đơn.Cửa hàng (InvoiceCheck.ShopId) = Cửa hàng, Phân loại hàng.InvoiceCheckId (GroupInvoiceDetail.InvoiceCheckId) = Hóa đơn.InvoiceCheckId (InvoiceCheck.InvoiceCheckId):
 + </t>
    </r>
    <r>
      <rPr>
        <rFont val="Calibri"/>
        <b/>
        <color theme="1"/>
      </rPr>
      <t>TL tổng</t>
    </r>
    <r>
      <rPr>
        <rFont val="Calibri"/>
        <color theme="1"/>
      </rPr>
      <t xml:space="preserve"> = SUM (GroupInvoiceDetail.TotalWeight)
 + </t>
    </r>
    <r>
      <rPr>
        <rFont val="Calibri"/>
        <b/>
        <color theme="1"/>
      </rPr>
      <t>TL hột</t>
    </r>
    <r>
      <rPr>
        <rFont val="Calibri"/>
        <color theme="1"/>
      </rPr>
      <t xml:space="preserve"> = SUM (GroupInvoiceDetail.DiamondWeight)
 + </t>
    </r>
    <r>
      <rPr>
        <rFont val="Calibri"/>
        <b/>
        <color theme="1"/>
      </rPr>
      <t>TL vàng</t>
    </r>
    <r>
      <rPr>
        <rFont val="Calibri"/>
        <color theme="1"/>
      </rPr>
      <t xml:space="preserve"> = SUM (GroupInvoiceDetail.GoldWeight)
</t>
    </r>
    <r>
      <rPr>
        <rFont val="Calibri"/>
        <b/>
        <color theme="1"/>
      </rPr>
      <t>GROUP BY</t>
    </r>
    <r>
      <rPr>
        <rFont val="Calibri"/>
        <color theme="1"/>
      </rPr>
      <t xml:space="preserve"> theo cột GroupInvoiceDetail.GoldCode
</t>
    </r>
    <r>
      <rPr>
        <rFont val="Calibri"/>
        <b/>
        <color theme="1"/>
      </rPr>
      <t xml:space="preserve">b. Khi Change Cửa hàng, Từ ngày, Đến ngày: </t>
    </r>
    <r>
      <rPr>
        <rFont val="Calibri"/>
        <color theme="1"/>
      </rPr>
      <t>Load lại dữ liệu.</t>
    </r>
  </si>
  <si>
    <r>
      <rPr>
        <rFont val="Calibri"/>
        <b/>
        <color theme="1"/>
      </rPr>
      <t xml:space="preserve">2. Nút Xuất Excel: </t>
    </r>
    <r>
      <rPr>
        <rFont val="Calibri"/>
        <b val="0"/>
        <color theme="1"/>
      </rPr>
      <t xml:space="preserve"> Xuất dữ liệu theo grid dữ liệu phía trên ra file excel</t>
    </r>
  </si>
  <si>
    <t>BÁO CÁO THỐNG KÊ HÓA ĐƠN</t>
  </si>
  <si>
    <t>Giảm giá</t>
  </si>
  <si>
    <t>Tiền thanh toán</t>
  </si>
  <si>
    <t>Tiền công hồi</t>
  </si>
  <si>
    <t>TransactionTypeId</t>
  </si>
  <si>
    <t>TotalAmount</t>
  </si>
  <si>
    <t>Discount</t>
  </si>
  <si>
    <t>PayAmount</t>
  </si>
  <si>
    <t>TotalReTaskPrice</t>
  </si>
  <si>
    <t>Status</t>
  </si>
  <si>
    <t>Thu Trang</t>
  </si>
  <si>
    <t>Chưa kiểm</t>
  </si>
  <si>
    <t>Như Nguyệt</t>
  </si>
  <si>
    <t>Đang kiểm</t>
  </si>
  <si>
    <t>Đã kiểm</t>
  </si>
  <si>
    <t>- Điều kiện: Từ ngày &lt;= Hóa đơn.Ngày giao dịch (InvoiceCheck.TrnDate) &lt;= Đến ngày, Hóa đơn.Cửa hàng (InvoiceCheck.ShopId) = Cửa hàng.</t>
  </si>
  <si>
    <t>- Xem: Change Cửa hàng, Từ ngày, Đến ngày: load lại data.</t>
  </si>
  <si>
    <t>BÁO CÁO THỐNG KÊ TIỀN BỚT</t>
  </si>
  <si>
    <t>Tổng tiền</t>
  </si>
  <si>
    <t>Tiền bớt</t>
  </si>
  <si>
    <t>CustName</t>
  </si>
  <si>
    <t>Phone</t>
  </si>
  <si>
    <t>ShopName</t>
  </si>
  <si>
    <t>Nguyễn Văn Tuấn</t>
  </si>
  <si>
    <t>NV1</t>
  </si>
  <si>
    <t>NV2</t>
  </si>
  <si>
    <t>NV3</t>
  </si>
  <si>
    <t>CD21124144</t>
  </si>
  <si>
    <t>NV4</t>
  </si>
  <si>
    <t>Kết nối với Database PMV để lấy dữ liệu giao dịch có Số tiền Discount &lt;&gt; 0</t>
  </si>
  <si>
    <t>Database</t>
  </si>
  <si>
    <t>KPHT_BANLE2024</t>
  </si>
  <si>
    <t>(Ip server, username, password giống với form Lấy dữ liệu)</t>
  </si>
  <si>
    <t>Tên stored procedure</t>
  </si>
  <si>
    <t>usp_TRN_Get_Discount</t>
  </si>
  <si>
    <t>(StoredProcedure có up trong Github)</t>
  </si>
  <si>
    <t>Parameter</t>
  </si>
  <si>
    <t>@p_FromDate varchar(10),
@p_ToDate varchar(10),
@p_ShopID varchar(15) = ''</t>
  </si>
  <si>
    <t>Từ ngày
Đến ngày
Cửa hàng</t>
  </si>
  <si>
    <r>
      <rPr>
        <rFont val="Calibri"/>
        <b/>
        <color theme="1"/>
      </rPr>
      <t>1. Nút Xem:</t>
    </r>
    <r>
      <rPr>
        <rFont val="Calibri"/>
        <color theme="1"/>
      </rPr>
      <t xml:space="preserve">
- Lấy dữ liệu theo StoredProcedure usp_TRN_Get_Discount. Điều kiện: Cửa hàng, Từ ngày, Đến ngày lấy từ trên form.
</t>
    </r>
    <r>
      <rPr>
        <rFont val="Calibri"/>
        <b/>
        <color theme="1"/>
      </rPr>
      <t xml:space="preserve">2. Nút Xuất Excel:
</t>
    </r>
    <r>
      <rPr>
        <rFont val="Calibri"/>
        <color theme="1"/>
      </rPr>
      <t>- Xuất dữ liệu theo grid dữ liệu phía trên ra file excel</t>
    </r>
  </si>
  <si>
    <t>BÁO CÁO THỐNG KÊ TIỀN GIAO DỊCH - TRƯỚC KIỂM</t>
  </si>
  <si>
    <t>Nhân viên GD</t>
  </si>
  <si>
    <t>UnitOfMeasureCode</t>
  </si>
  <si>
    <t>Rate</t>
  </si>
  <si>
    <t>Amount</t>
  </si>
  <si>
    <t>Table</t>
  </si>
  <si>
    <t>InvoiceCheck; InvoiceCheckDetail</t>
  </si>
  <si>
    <r>
      <rPr>
        <rFont val="Calibri"/>
        <b/>
        <color theme="1"/>
      </rPr>
      <t xml:space="preserve">1. Nút Xem:
</t>
    </r>
    <r>
      <rPr>
        <rFont val="Calibri"/>
        <color theme="1"/>
      </rPr>
      <t xml:space="preserve">Query data 2 bảng InvoiceCheck và InvoiCheckDetail: Lấy các cột thông tin như mô tả phía trên Table
- Điều kiện: Từ ngày &lt;= Hóa đơn.Ngày giao dịch (InvoiceCheck.TrnDate) &lt;= Đến ngày, Hóa đơn.Cửa hàng (InvoiceCheck.ShopId) = Cửa hàng
</t>
    </r>
    <r>
      <rPr>
        <rFont val="Calibri"/>
        <b/>
        <color theme="1"/>
      </rPr>
      <t xml:space="preserve">2. Nút Xuất Excel:
</t>
    </r>
    <r>
      <rPr>
        <rFont val="Calibri"/>
        <color theme="1"/>
      </rPr>
      <t>- Xuất dữ liệu theo grid dữ liệu phía trên ra file excel</t>
    </r>
  </si>
  <si>
    <t>BÁO CÁO THỐNG KÊ TIỀN GIAO DỊCH - SAU KIỂM</t>
  </si>
  <si>
    <t>InvoiceCheck; GroupInvoiceDetail</t>
  </si>
  <si>
    <r>
      <rPr>
        <rFont val="Calibri"/>
        <b/>
        <color theme="1"/>
      </rPr>
      <t xml:space="preserve">1. Nút Xem:
</t>
    </r>
    <r>
      <rPr>
        <rFont val="Calibri"/>
        <color theme="1"/>
      </rPr>
      <t xml:space="preserve">- Điều kiện lọc: Từ ngày &lt;= Hóa đơn.Ngày giao dịch (InvoiceCheck.TrnDate) &lt;= Đến ngày, Hóa đơn.Cửa hàng (InvoiceCheck.ShopId) = Cửa hàng, 
- Query data 2 bảng InvoiceCheck và GroupInvoiceDetail: (Điều kiện: InvoiceCheck.ShopId = GroupInvoiceDetail.UnitId &amp;&amp;  InvoiceCheck.BillCode= GroupInvoiceDetail.BillCode): Lấy các cột thông tin như mô tả phía trên Table
</t>
    </r>
    <r>
      <rPr>
        <rFont val="Calibri"/>
        <b/>
        <color theme="1"/>
      </rPr>
      <t xml:space="preserve">2. Nút Xuất Excel:
</t>
    </r>
    <r>
      <rPr>
        <rFont val="Calibri"/>
        <color theme="1"/>
      </rPr>
      <t>- Xuất dữ liệu theo grid dữ liệu phía trên ra file excel</t>
    </r>
  </si>
  <si>
    <t>Note (DEV)</t>
  </si>
  <si>
    <t>Hiện tại kiểm tra bảng GroupInvoiceDetail đang không có trường Rate. Đang xử lý bằng cách không hiển thị cột Đơn giá trong Báo Cáo</t>
  </si>
  <si>
    <t>Note (BA)</t>
  </si>
  <si>
    <t>Đã bổ sung cột Rate trong table GroupInvoiceDetail</t>
  </si>
  <si>
    <t>BÁO CÁO THỐNG KÊ TRỪ ĐIỂM TÍCH LŨY KHÁCH HÀNG</t>
  </si>
  <si>
    <t>Điểm tích lũy</t>
  </si>
  <si>
    <t>LoyaltyPoints</t>
  </si>
  <si>
    <t>usp_TRN_Get_LoyaltyPoint</t>
  </si>
  <si>
    <r>
      <rPr>
        <rFont val="Calibri"/>
        <b/>
        <color theme="1"/>
      </rPr>
      <t>1. Nút Xem:</t>
    </r>
    <r>
      <rPr>
        <rFont val="Calibri"/>
        <color theme="1"/>
      </rPr>
      <t xml:space="preserve">
- Lấy dữ liệu theo StoredProcedure usp_TRN_Get_LoyaltyPoint. Điều kiện: Cửa hàng, Từ ngày, Đến ngày lấy từ trên form.
</t>
    </r>
    <r>
      <rPr>
        <rFont val="Calibri"/>
        <b/>
        <color theme="1"/>
      </rPr>
      <t xml:space="preserve">2. Nút Xuất Excel:
</t>
    </r>
    <r>
      <rPr>
        <rFont val="Calibri"/>
        <color theme="1"/>
      </rPr>
      <t>- Xuất dữ liệu theo grid dữ liệu phía trên ra file excel</t>
    </r>
  </si>
  <si>
    <t>Số món</t>
  </si>
  <si>
    <t>Quantity = LoyaltyPoints/config.UoMConvert</t>
  </si>
  <si>
    <t>ReTaskPrice</t>
  </si>
  <si>
    <t>Kết nối với Database PMV để lấy dữ liệu giao dịch có Số tiền Discount &lt;&gt; 0, Chi tiết hóa đơn có Tiền công hồi &lt;&gt; 0.</t>
  </si>
  <si>
    <t>usp_TRN_Get_LoyaltyPointDetail</t>
  </si>
  <si>
    <r>
      <rPr>
        <rFont val="Calibri"/>
        <b/>
        <color theme="1"/>
      </rPr>
      <t>1. Nút Xem:</t>
    </r>
    <r>
      <rPr>
        <rFont val="Calibri"/>
        <color theme="1"/>
      </rPr>
      <t xml:space="preserve">
- Lấy dữ liệu theo StoredProcedure usp_TRN_Get_LoyaltyPoint. Điều kiện: Cửa hàng, Từ ngày, Đến ngày lấy từ trên form.
</t>
    </r>
    <r>
      <rPr>
        <rFont val="Calibri"/>
        <b/>
        <color theme="1"/>
      </rPr>
      <t xml:space="preserve">2. Nút Xuất Excel:
</t>
    </r>
    <r>
      <rPr>
        <rFont val="Calibri"/>
        <color theme="1"/>
      </rPr>
      <t>- Xuất dữ liệu theo grid dữ liệu phía trên ra file excel</t>
    </r>
  </si>
  <si>
    <r>
      <rPr>
        <rFont val="Times New Roman"/>
        <b/>
        <color theme="1"/>
        <sz val="13.0"/>
      </rPr>
      <t xml:space="preserve">BÁO CÁO TỒN KHO
</t>
    </r>
    <r>
      <rPr>
        <rFont val="Times New Roman"/>
        <b/>
        <color theme="1"/>
        <sz val="11.0"/>
      </rPr>
      <t>(Từ ngày dd/MM/yyyy - đến ngày dd/MM/yyyy)</t>
    </r>
  </si>
  <si>
    <t>Tình trạng</t>
  </si>
  <si>
    <t>TL Tổng (chỉ)</t>
  </si>
  <si>
    <t>TL Vàng (chỉ)</t>
  </si>
  <si>
    <t>Vàng quy 100</t>
  </si>
  <si>
    <t>Bông</t>
  </si>
  <si>
    <t>Vàng 9999</t>
  </si>
  <si>
    <t>Nhẫn trơn</t>
  </si>
  <si>
    <t>Vàng 750 gram</t>
  </si>
  <si>
    <t>Dây</t>
  </si>
  <si>
    <t>InventoryHistory</t>
  </si>
  <si>
    <r>
      <rPr>
        <rFont val="Calibri"/>
        <b/>
        <color theme="1"/>
      </rPr>
      <t>Nút Xem:
1. Kiểm tra dữ liệu input:</t>
    </r>
    <r>
      <rPr>
        <rFont val="Calibri"/>
        <color theme="1"/>
      </rPr>
      <t xml:space="preserve">
- Kiểm tra các trường thông tin Cửa hàng, Từ ngày, Đến ngày: không được Null, nếu Null: Hiển thị thông báo: Vui lòng chọn Cửa hàng, Từ ngày, Đến ngày.
</t>
    </r>
    <r>
      <rPr>
        <rFont val="Calibri"/>
        <b/>
        <color theme="1"/>
      </rPr>
      <t>2. Tính toán và hiển thị dữ liệu lên grid:</t>
    </r>
    <r>
      <rPr>
        <rFont val="Calibri"/>
        <color theme="1"/>
      </rPr>
      <t xml:space="preserve">
</t>
    </r>
    <r>
      <rPr>
        <rFont val="Calibri"/>
        <b/>
        <color theme="1"/>
      </rPr>
      <t xml:space="preserve">- Điều kiện: </t>
    </r>
    <r>
      <rPr>
        <rFont val="Calibri"/>
        <color theme="1"/>
      </rPr>
      <t xml:space="preserve"> Từ ngày &lt;= Ngày giao dịch (InventoryHistory.InventoryDate) &lt;= Đến ngày, Cửa hàng (InventoryHistory.UnitId) = Cửa hàng (lkDonVi), - Các trường thông tin: Kho = InventoryHistory.StockId, Loại vàng = InventoryHistory.ProductId, Tình trạng = InventoryHistory.ProductTypeId, Nhóm hàng = InventoryHistory.ProductGroupId.
</t>
    </r>
    <r>
      <rPr>
        <rFont val="Calibri"/>
        <i/>
        <color rgb="FFFF0000"/>
      </rPr>
      <t xml:space="preserve"> (Lưu ý: Các trường thông tin Kho, Loại vàng, Tình trạng, Nhóm hàng có thể Null, nếu Null bỏ qua điều kiện lọc các thông tin này và lấy hết tất cả).</t>
    </r>
    <r>
      <rPr>
        <rFont val="Calibri"/>
        <color theme="1"/>
      </rPr>
      <t xml:space="preserve">
</t>
    </r>
    <r>
      <rPr>
        <rFont val="Calibri"/>
        <b/>
        <color theme="1"/>
      </rPr>
      <t>a. Tính tổng các cột:</t>
    </r>
    <r>
      <rPr>
        <rFont val="Calibri"/>
        <color theme="1"/>
      </rPr>
      <t xml:space="preserve">
 + Số lượng (Quantity) = SUM cột Quantity
 + TL tổng (TotalWeight) = SUM cột TotalWeight
 + TL hột (DiamondWeight) = SUM cột DiamondWeight
 + TL vàng (GoldWeight) = SUM cột GoldWeight
 + Thành tiền (ToltalAmount) = Sum cột ToltalAmount
 + Đơn giá = ABS (cột ToltalAmount/cột GoldWeight)
</t>
    </r>
    <r>
      <rPr>
        <rFont val="Calibri"/>
        <b/>
        <color theme="1"/>
      </rPr>
      <t>* Nếu Loại vàng có Đơn vị tính KHÁC Chỉ</t>
    </r>
    <r>
      <rPr>
        <rFont val="Calibri"/>
        <color theme="1"/>
      </rPr>
      <t xml:space="preserve">: Tính toán các cột TL tổng (chỉ) (TotalWeight2), TL hột (chỉ) (DiamondWeight2), TL vàng (chỉ) (GoldWeight2).
 + TL tổng (chỉ) (TotalWeight2) = cột TotalWeight/3.75
 + TL hột (chỉ) (DiamondWeight2) = cột DiamondWeight/3.75
 + TL vàng (chỉ) (GoldWeight2) = cột GoldWeight/3.75
</t>
    </r>
    <r>
      <rPr>
        <rFont val="Calibri"/>
        <b/>
        <color theme="1"/>
      </rPr>
      <t xml:space="preserve">* Ngược lại Loại vàng có Đơn vị tính = Chỉ: </t>
    </r>
    <r>
      <rPr>
        <rFont val="Calibri"/>
        <color theme="1"/>
      </rPr>
      <t xml:space="preserve">các cột TL tổng (chỉ) (TotalWeight2), TL hột (chỉ) (DiamondWeight2), TL vàng (chỉ) (GoldWeight2).
 + TL tổng (chỉ) (TotalWeight2) = cột TotalWeight
 + TL hột (chỉ) (DiamondWeight2) = cột DiamondWeight
 + TL vàng (chỉ) (GoldWeight2) = cột GoldWeight
</t>
    </r>
    <r>
      <rPr>
        <rFont val="Calibri"/>
        <b/>
        <color theme="1"/>
      </rPr>
      <t xml:space="preserve">* Cột Vàng quy 100:
</t>
    </r>
    <r>
      <rPr>
        <rFont val="Calibri"/>
        <color theme="1"/>
      </rPr>
      <t xml:space="preserve"> + Vàng quy 100 = TL vàng (chỉ) (GoldWeight2) * Tuổi vàng (Product.Age)/100
</t>
    </r>
    <r>
      <rPr>
        <rFont val="Calibri"/>
        <b/>
        <color theme="1"/>
      </rPr>
      <t>Group by</t>
    </r>
    <r>
      <rPr>
        <rFont val="Calibri"/>
        <color theme="1"/>
      </rPr>
      <t xml:space="preserve"> theo Cửa hàng, Từ ngày, Đến ngày, Kho, Loại vàng, Đơn vị tính, Tình trạng, Nhóm hàng.
</t>
    </r>
    <r>
      <rPr>
        <rFont val="Calibri"/>
        <b/>
        <color theme="1"/>
      </rPr>
      <t>b. Onchange các trường thông tin:</t>
    </r>
    <r>
      <rPr>
        <rFont val="Calibri"/>
        <color theme="1"/>
      </rPr>
      <t xml:space="preserve"> Cửa hàng, Từ ngày, Đến ngày, Kho, Loại vàng, Tình trạng, Nhóm hàng: Tính toán và load lại data theo các trường thông tin đã chọn lên grid.
</t>
    </r>
    <r>
      <rPr>
        <rFont val="Calibri"/>
        <b/>
        <color theme="1"/>
      </rPr>
      <t xml:space="preserve">c. Ẩn hiện các cột Nhóm hàng, Tình trạng trên grid: 
</t>
    </r>
    <r>
      <rPr>
        <rFont val="Calibri"/>
        <color theme="1"/>
      </rPr>
      <t>- Combobox Nhóm hàng, Tình trạng: chỉ hiển thị trên gridview khi có dữ liệu. Ngược lại: ẩn cột khi không có dữ liệu.</t>
    </r>
  </si>
  <si>
    <r>
      <rPr>
        <rFont val="Times New Roman"/>
        <b/>
        <color theme="1"/>
        <sz val="13.0"/>
      </rPr>
      <t xml:space="preserve">BÁO CÁO TỒN KHO TỔNG HỢP
</t>
    </r>
    <r>
      <rPr>
        <rFont val="Times New Roman"/>
        <b/>
        <color theme="1"/>
        <sz val="11.0"/>
      </rPr>
      <t>(Từ ngày dd/MM/yyyy - đến ngày dd/MM/yyyy)</t>
    </r>
  </si>
  <si>
    <r>
      <rPr>
        <rFont val="Calibri"/>
        <b/>
        <color theme="1"/>
      </rPr>
      <t>Nút Xem:
1. Kiểm tra dữ liệu input:</t>
    </r>
    <r>
      <rPr>
        <rFont val="Calibri"/>
        <color theme="1"/>
      </rPr>
      <t xml:space="preserve">
- Kiểm tra các trường thông tin Cửa hàng, Từ ngày, Đến ngày: không được Null, nếu Null: Hiển thị thông báo: Vui lòng chọn Cửa hàng, Từ ngày, Đến ngày.
</t>
    </r>
    <r>
      <rPr>
        <rFont val="Calibri"/>
        <b/>
        <color theme="1"/>
      </rPr>
      <t>2. Tính toán và hiển thị dữ liệu lên grid:</t>
    </r>
    <r>
      <rPr>
        <rFont val="Calibri"/>
        <color theme="1"/>
      </rPr>
      <t xml:space="preserve">
</t>
    </r>
    <r>
      <rPr>
        <rFont val="Calibri"/>
        <b/>
        <color theme="1"/>
      </rPr>
      <t xml:space="preserve">- Điều kiện: </t>
    </r>
    <r>
      <rPr>
        <rFont val="Calibri"/>
        <color theme="1"/>
      </rPr>
      <t xml:space="preserve"> Từ ngày &lt;= Ngày giao dịch (InventoryHistory.InventoryDate) &lt;= Đến ngày, Cửa hàng (InventoryHistory.UnitId) = Cửa hàng (lkDonVi), - Các trường thông tin: Kho = InventoryHistory.StockId, Loại vàng = InventoryHistory.ProductId, Tình trạng = InventoryHistory.ProductTypeId, Nhóm hàng = InventoryHistory.ProductGroupId.
</t>
    </r>
    <r>
      <rPr>
        <rFont val="Calibri"/>
        <i/>
        <color rgb="FFFF0000"/>
      </rPr>
      <t xml:space="preserve"> (Lưu ý: Các trường thông tin Kho, Loại vàng, Tình trạng, Nhóm hàng có thể Null, nếu Null bỏ qua điều kiện lọc các thông tin này và lấy hết tất cả).</t>
    </r>
    <r>
      <rPr>
        <rFont val="Calibri"/>
        <color theme="1"/>
      </rPr>
      <t xml:space="preserve">
</t>
    </r>
    <r>
      <rPr>
        <rFont val="Calibri"/>
        <b/>
        <color theme="1"/>
      </rPr>
      <t>a. Tính tổng các cột:</t>
    </r>
    <r>
      <rPr>
        <rFont val="Calibri"/>
        <color theme="1"/>
      </rPr>
      <t xml:space="preserve">
 + Số lượng (Quantity) = SUM cột Quantity
 + TL tổng (TotalWeight) = SUM cột TotalWeight
 + TL hột (DiamondWeight) = SUM cột DiamondWeight
 + TL vàng (GoldWeight) = SUM cột GoldWeight
 + Thành tiền (ToltalAmount) = Sum cột ToltalAmount
 + Đơn giá = ABS (cột ToltalAmount/cột GoldWeight)
</t>
    </r>
    <r>
      <rPr>
        <rFont val="Calibri"/>
        <b/>
        <color theme="1"/>
      </rPr>
      <t>* Nếu Loại vàng có Đơn vị tính KHÁC Chỉ</t>
    </r>
    <r>
      <rPr>
        <rFont val="Calibri"/>
        <color theme="1"/>
      </rPr>
      <t xml:space="preserve">: Tính toán các cột TL tổng (chỉ) (TotalWeight2), TL hột (chỉ) (DiamondWeight2), TL vàng (chỉ) (GoldWeight2).
 + TL tổng (chỉ) (TotalWeight2) = cột TotalWeight/3.75
 + TL hột (chỉ) (DiamondWeight2) = cột DiamondWeight/3.75
 + TL vàng (chỉ) (GoldWeight2) = cột GoldWeight/3.75
</t>
    </r>
    <r>
      <rPr>
        <rFont val="Calibri"/>
        <b/>
        <color theme="1"/>
      </rPr>
      <t xml:space="preserve">* Ngược lại Loại vàng có Đơn vị tính = Chỉ: </t>
    </r>
    <r>
      <rPr>
        <rFont val="Calibri"/>
        <color theme="1"/>
      </rPr>
      <t xml:space="preserve">các cột TL tổng (chỉ) (TotalWeight2), TL hột (chỉ) (DiamondWeight2), TL vàng (chỉ) (GoldWeight2).
 + TL tổng (chỉ) (TotalWeight2) = cột TotalWeight
 + TL hột (chỉ) (DiamondWeight2) = cột DiamondWeight
 + TL vàng (chỉ) (GoldWeight2) = cột GoldWeight
</t>
    </r>
    <r>
      <rPr>
        <rFont val="Calibri"/>
        <b/>
        <color theme="1"/>
      </rPr>
      <t xml:space="preserve">* Cột Vàng quy 100:
</t>
    </r>
    <r>
      <rPr>
        <rFont val="Calibri"/>
        <color theme="1"/>
      </rPr>
      <t xml:space="preserve"> + Vàng quy 100 = TL vàng (chỉ) (GoldWeight2) * Tuổi vàng (Product.Age)/100
</t>
    </r>
    <r>
      <rPr>
        <rFont val="Calibri"/>
        <b/>
        <color theme="1"/>
      </rPr>
      <t>Group by</t>
    </r>
    <r>
      <rPr>
        <rFont val="Calibri"/>
        <color theme="1"/>
      </rPr>
      <t xml:space="preserve"> theo Cửa hàng, Từ ngày, Đến ngày, Kho, Loại vàng, Đơn vị tính, Tình trạng, Nhóm hàng.
</t>
    </r>
    <r>
      <rPr>
        <rFont val="Calibri"/>
        <b/>
        <color theme="1"/>
      </rPr>
      <t>b. Onchange các trường thông tin:</t>
    </r>
    <r>
      <rPr>
        <rFont val="Calibri"/>
        <color theme="1"/>
      </rPr>
      <t xml:space="preserve"> Cửa hàng, Từ ngày, Đến ngày, Kho, Loại vàng, Tình trạng, Nhóm hàng: Tính toán và load lại data theo các trường thông tin đã chọn lên grid.
</t>
    </r>
    <r>
      <rPr>
        <rFont val="Calibri"/>
        <b/>
        <color theme="1"/>
      </rPr>
      <t xml:space="preserve">c. Ẩn hiện các cột Nhóm hàng, Tình trạng trên grid: 
</t>
    </r>
    <r>
      <rPr>
        <rFont val="Calibri"/>
        <color theme="1"/>
      </rPr>
      <t>- Combobox Nhóm hàng, Tình trạng: chỉ hiển thị trên gridview khi có dữ liệu. Ngược lại: ẩn cột khi không có dữ liệu.</t>
    </r>
  </si>
  <si>
    <t>BÁO CÁO KIỂM KÊ</t>
  </si>
  <si>
    <t>Mô tả: Báo cáo cho chức năng Kiểm kê nên sẽ dùng số liệu của Inventory, InventoryCheck và InventoryCheckDetail</t>
  </si>
  <si>
    <t>Trên báo cáo kiểm kê:
- Bỏ 3 cột  Tổng tiền, Đơn giá và Thành tiền
- Thêm 3 cột Trọng lượng tổng, Trọng lượng vàng và Trọng lượng đá (lấy từ những cột đã thêm ở chức năng Kiểm kê)
- Chú ý Views: View_BaoCaoKiemKe_ChiTiet
- Chỉnh sửa view trên nếu cần
- Đảm bảo các chức năng Xem, In và Export excel có đủ những phần mới</t>
  </si>
  <si>
    <t>- Chỉnh sửa các cột trên tab Kiểm kê tổng hợp</t>
  </si>
  <si>
    <t>- Chỉnh sửa các cột trên tab Kiểm kê chi tiết mặt hàng</t>
  </si>
  <si>
    <t>- Chỉnh sửa View</t>
  </si>
  <si>
    <t>- Chức năng Xem, In, Export excel</t>
  </si>
  <si>
    <t>FORM PHIẾU MUA HÀNG HÓA</t>
  </si>
  <si>
    <t>PHIẾU MUA HÀNG HÓA</t>
  </si>
  <si>
    <t>Mã nhà cung cấp</t>
  </si>
  <si>
    <t>Tên nhà cung cấp</t>
  </si>
  <si>
    <t>Mã số thuế</t>
  </si>
  <si>
    <t>Số phiếu</t>
  </si>
  <si>
    <t>Option 1</t>
  </si>
  <si>
    <t>PMHH251101001</t>
  </si>
  <si>
    <t>Chưa thực hiện</t>
  </si>
  <si>
    <t>Người liên hệ</t>
  </si>
  <si>
    <t>Ngày giao hàng</t>
  </si>
  <si>
    <t>Địa điểm giao hàng</t>
  </si>
  <si>
    <t>PC251101001</t>
  </si>
  <si>
    <t>Nhân viên mua hàng</t>
  </si>
  <si>
    <t>Tổng tiền hàng</t>
  </si>
  <si>
    <t>Tiền chiết khấu</t>
  </si>
  <si>
    <t>Tiền thuế GTGT</t>
  </si>
  <si>
    <t>Có HĐĐT (Có/Không)</t>
  </si>
  <si>
    <t>Tình trạng HĐĐT</t>
  </si>
  <si>
    <t>Phiếu mua hàng</t>
  </si>
  <si>
    <t>Phiếu chi</t>
  </si>
  <si>
    <t>Hoàn tất phiếu chi</t>
  </si>
  <si>
    <t>Đã xuất HĐ</t>
  </si>
  <si>
    <t>Tổng tiền thanh toán</t>
  </si>
  <si>
    <t>Số tiền đặt cọc</t>
  </si>
  <si>
    <t>Số tiền đã thanh toán (bao gồm tiền cọc)</t>
  </si>
  <si>
    <t>Tổng tiền còn lại</t>
  </si>
  <si>
    <t>Quầy thu ngân chi tiền</t>
  </si>
  <si>
    <t>Khu vực</t>
  </si>
  <si>
    <t>Hình thức thanh toán</t>
  </si>
  <si>
    <t>Quầy kinh doanh 1</t>
  </si>
  <si>
    <t>Kinh doanh</t>
  </si>
  <si>
    <t>CHI TIẾT PHIẾU MUA HÀNG</t>
  </si>
  <si>
    <t>Mã hàng</t>
  </si>
  <si>
    <t>Tên hàng</t>
  </si>
  <si>
    <t>Số lượng nhận</t>
  </si>
  <si>
    <t>% Thuế GTGT</t>
  </si>
  <si>
    <t>Tổng thành tiền</t>
  </si>
  <si>
    <t>HH0001</t>
  </si>
  <si>
    <t>Thiết bị điện</t>
  </si>
  <si>
    <t>FORM DANH SÁCH PHIẾU MUA HÀNG</t>
  </si>
  <si>
    <t>DANH SÁCH PHIẾU MUA HÀNG</t>
  </si>
  <si>
    <t>FORM PHIẾU CHI</t>
  </si>
  <si>
    <t>PHIẾU CHI TIỀN</t>
  </si>
  <si>
    <t>Loại chi</t>
  </si>
  <si>
    <t>Tham chiếu?</t>
  </si>
  <si>
    <t>Chi tiền đặt cọc mua hàng</t>
  </si>
  <si>
    <t>Lưu tạm</t>
  </si>
  <si>
    <t>Loại tham chiếu</t>
  </si>
  <si>
    <t>Số chứng từ tham chiếu</t>
  </si>
  <si>
    <t>Ngày chứng từ tham chiếu</t>
  </si>
  <si>
    <t>Nhà cung cấp</t>
  </si>
  <si>
    <t>Số tiền</t>
  </si>
  <si>
    <t>Lý do chi</t>
  </si>
  <si>
    <t>Quầy thu ngân</t>
  </si>
  <si>
    <t xml:space="preserve">Tài khoản thanh toán </t>
  </si>
  <si>
    <t>Bổ sung trường:</t>
  </si>
  <si>
    <t>Chuyển khoản</t>
  </si>
  <si>
    <t>Tài khoản thanh toán 1</t>
  </si>
  <si>
    <t xml:space="preserve">Người lập phiếu </t>
  </si>
  <si>
    <t>Nếu muốn hiển thị rõ thông tin/ Hoặc truy vết từ quầy thu ngân</t>
  </si>
  <si>
    <t>Người nhận tiền</t>
  </si>
  <si>
    <t>Người nhận tiền có thể khác với người mua hàng</t>
  </si>
  <si>
    <t>Hạch toán</t>
  </si>
  <si>
    <t>Ngày hạch toán</t>
  </si>
  <si>
    <t>CHI TIẾT PHIẾU CHI</t>
  </si>
  <si>
    <t>FORM DANH SÁCH PHIẾU THU CHI</t>
  </si>
  <si>
    <t>FORM PHIẾU THU</t>
  </si>
  <si>
    <t>PHIẾU THU TIỀN</t>
  </si>
  <si>
    <t>Ghi nhận doanh thu/chi phí (Có/Không)</t>
  </si>
  <si>
    <t>Khoản mục chi phí</t>
  </si>
  <si>
    <t>Khoản mục doanh thu</t>
  </si>
  <si>
    <t>CHI TIẾT PHIẾU THU</t>
  </si>
  <si>
    <t>FORM PHIẾU MƯỢN, CHUYỂN TIỀN GIỮA CÁC CHI NHÁNH</t>
  </si>
  <si>
    <t>PHIẾU MƯỢN, CHUYỂN TIỀN GIỮA CÁC CHI NHÁNH</t>
  </si>
  <si>
    <t>THÊM</t>
  </si>
  <si>
    <t>Mượn tiền: Lập phiếu --&gt; Chọn "Mượn"--&gt; Sau khi duyệt, hệ thống tạo dòng công nợ mới trên FORM DANH SÁCH MƯỢN TRẢ.</t>
  </si>
  <si>
    <t>Loại chi tiền mượn / Trả</t>
  </si>
  <si>
    <t>Số phiếu Mượn tham chiếu</t>
  </si>
  <si>
    <t>Ngày dự kiến trả</t>
  </si>
  <si>
    <t>Tổng số tiền</t>
  </si>
  <si>
    <t>Nội dung / Ghi chú</t>
  </si>
  <si>
    <t>PMT251101001</t>
  </si>
  <si>
    <t>Trả</t>
  </si>
  <si>
    <t>PMTM001</t>
  </si>
  <si>
    <t>CHI TIẾT CHUYỂN</t>
  </si>
  <si>
    <t>Chi nhánh thực hiện</t>
  </si>
  <si>
    <t>Khu vực thực hiện</t>
  </si>
  <si>
    <t xml:space="preserve">Từ Quầy thu ngân </t>
  </si>
  <si>
    <t>Số tiền mặt</t>
  </si>
  <si>
    <t>Tài khoản trích tiền</t>
  </si>
  <si>
    <t>Nhân viên lập</t>
  </si>
  <si>
    <t>Quầy thu ngân 2</t>
  </si>
  <si>
    <t>TM/CK</t>
  </si>
  <si>
    <t>Chờ duyệt</t>
  </si>
  <si>
    <t>Chi nhánh đối tác</t>
  </si>
  <si>
    <t>Khu vực đối tác</t>
  </si>
  <si>
    <t>Quầy thu ngân đối tác</t>
  </si>
  <si>
    <t>Tài khoản nhận tiền</t>
  </si>
  <si>
    <t>Chi nhánh 2</t>
  </si>
  <si>
    <t>Quầy thu ngân 1</t>
  </si>
  <si>
    <t>TRÌNH DUYỆT</t>
  </si>
  <si>
    <t>LƯU</t>
  </si>
  <si>
    <t>FORM DANH SÁCH PHIẾU MƯỢN, CHUYỂN TIỀN GIỮA CÁC CHI NHÁNH</t>
  </si>
  <si>
    <t>DANH SÁCH PHIẾU MƯỢN, CHUYỂN TIỀN GIỮA CÁC CHI NHÁNH</t>
  </si>
  <si>
    <t>Số Phiếu Mượn/TRả Gốc</t>
  </si>
  <si>
    <t>Chi nhánh Mượn (Trả nợ)</t>
  </si>
  <si>
    <t>Chi nhánh Cho mượn</t>
  </si>
  <si>
    <t>Tổng số tiền Mượn</t>
  </si>
  <si>
    <t>Số tiền đã Trả</t>
  </si>
  <si>
    <t>Nợ còn lại</t>
  </si>
  <si>
    <t>Danh sách Phiếu Trả</t>
  </si>
  <si>
    <t>Phiếu Chi Liên kết</t>
  </si>
  <si>
    <t>Phiếu Thu Liên kết</t>
  </si>
  <si>
    <t>Trạng thái Công nợ</t>
  </si>
  <si>
    <t>Số ngày Quá hạn</t>
  </si>
  <si>
    <t>Khi click vào dòng DS Phiếu trả hiện form Danh sách Phiếu trả</t>
  </si>
  <si>
    <t>FORM DANH SÁCH PHIẾU TRẢ CHO 1 PHIẾU MƯỢN</t>
  </si>
  <si>
    <t>DANH SÁCH PHIẾU TRẢ</t>
  </si>
  <si>
    <t>Số Phiếu Trả</t>
  </si>
  <si>
    <t>Số tiền Trả</t>
  </si>
  <si>
    <t>Dư nợ sau khi Trả</t>
  </si>
  <si>
    <t>Người Thực hiện</t>
  </si>
  <si>
    <t>*</t>
  </si>
  <si>
    <t>Các link Phiếu thu chi sẽ thông tin người chuyển, người mượn, trạng thái đã chuyển, đã nhận giữa các chi nhánh</t>
  </si>
  <si>
    <t>FORM PHIẾU MƯỢN, CHUYỂN VÀNG GIỮA CÁC CHI NHÁNH</t>
  </si>
  <si>
    <t>Giá vốn</t>
  </si>
  <si>
    <t>Từ Kho</t>
  </si>
  <si>
    <t>Nhân viên thực hiện</t>
  </si>
  <si>
    <t>Đến kho</t>
  </si>
  <si>
    <t>CHI TIẾT PHIẾU MƯỢN, CHUYỂN VÀNG GIỮA CÁC CHI NHÁNH</t>
  </si>
  <si>
    <t>Số phiếu đề nghị chuyển tiền</t>
  </si>
  <si>
    <t>Cấp vốn</t>
  </si>
  <si>
    <t>Khu vực chuyển</t>
  </si>
  <si>
    <t>Quầy thu ngân chuyển</t>
  </si>
  <si>
    <t>Khu vực nhận</t>
  </si>
  <si>
    <t>Quầy thu ngân nhận</t>
  </si>
  <si>
    <t>Nhân viên nhận</t>
  </si>
  <si>
    <t>Người duyệt</t>
  </si>
  <si>
    <t>CHI TIẾT PHIẾU CHUYỂN TIỀN GIỮA CÁC QUẦY, KHU VỰC</t>
  </si>
  <si>
    <t>FORM DANH SÁCH PHIẾU CHUYỂN TIỀN GIỮA CÁC QUẦY, KHU VỰC</t>
  </si>
  <si>
    <t>FORM PHIẾU TẠM ỨNG</t>
  </si>
  <si>
    <t>PHIẾU TẠM ỨNG</t>
  </si>
  <si>
    <t>Ngày tạm ứng</t>
  </si>
  <si>
    <t>Mục đích sử dụng</t>
  </si>
  <si>
    <t>Người Đề nghị</t>
  </si>
  <si>
    <t>THÔNG TIN ĐƠN VỊ GIAO DỊCH (NHẬN TIỀN)</t>
  </si>
  <si>
    <t>Loại Đơn vị Giao dịch</t>
  </si>
  <si>
    <t>Người/Đơn vị Giao dịch</t>
  </si>
  <si>
    <t>Thời hạn Hoàn ứng</t>
  </si>
  <si>
    <t>THÔNG TIN THANH TOÁN</t>
  </si>
  <si>
    <t>Tài khoản xuất tiền</t>
  </si>
  <si>
    <t>Số tài khoản nhận tiền</t>
  </si>
  <si>
    <t>Ngân hàng nhận</t>
  </si>
  <si>
    <t>TRẠNG THÁI &amp; LIÊN KẾT</t>
  </si>
  <si>
    <t>Dư nợ còn lại</t>
  </si>
  <si>
    <t>CHI TIẾT PHIẾU MƯỢN, CHUYỂN TIỀN GIỮA CÁC CHI NHÁNH</t>
  </si>
  <si>
    <t>Tài khoản người nhận</t>
  </si>
  <si>
    <t>Ngày hồi ứng</t>
  </si>
  <si>
    <t>Phiếu Tạm Ứng Gốc</t>
  </si>
  <si>
    <t>Tổng số tiền Tạm ứng Gốc</t>
  </si>
  <si>
    <t>Người hoàn ứng</t>
  </si>
  <si>
    <t>Hoá đơn, chứng từ</t>
  </si>
  <si>
    <t>Ngày chứng từ</t>
  </si>
  <si>
    <t>Tổng chi phí thực tế (hóa đơn, chứng từ )</t>
  </si>
  <si>
    <t>Chi phí khác</t>
  </si>
  <si>
    <t>Số tiền hoàn ứng</t>
  </si>
  <si>
    <t>Có chi phí vận chuyển</t>
  </si>
  <si>
    <t>Hình thức hoàn trả</t>
  </si>
  <si>
    <t>Phiếu thu liên kết</t>
  </si>
  <si>
    <t>FORM PHIẾU NHẬN HÀNG</t>
  </si>
  <si>
    <t>PHIẾU  NHẬN HÀNG</t>
  </si>
  <si>
    <t>THÔNG TIN CHUNG &amp; CÔNG NỢ</t>
  </si>
  <si>
    <t>Ngày nhận hàng</t>
  </si>
  <si>
    <t>Tổng giá trị Hóa đơn (Có VAT)</t>
  </si>
  <si>
    <t>Tiền (Đặt cọc+Thanh toán trước)</t>
  </si>
  <si>
    <t>Công nợ Phải trả còn lại</t>
  </si>
  <si>
    <t>Hạn mức Công nợ (ngày)</t>
  </si>
  <si>
    <t>TỒN KHO &amp; KIỂM KÊ</t>
  </si>
  <si>
    <t>Khu vực Nhận</t>
  </si>
  <si>
    <t>Kho nhận</t>
  </si>
  <si>
    <t>Nhân viên Kiểm nhận hàng</t>
  </si>
  <si>
    <t>Phiếu Trả hàng Liên kết</t>
  </si>
  <si>
    <t>CHI TIẾT HÀNG HÓA</t>
  </si>
  <si>
    <t>Loại hàng hoá</t>
  </si>
  <si>
    <t>Tên hàng hoá/Vật tư</t>
  </si>
  <si>
    <t>Số lượng thực tế nhập</t>
  </si>
  <si>
    <t>Đơn giá mua</t>
  </si>
  <si>
    <t>TRẠNG THÁI &amp; THANH TOÁN</t>
  </si>
  <si>
    <t>Trạng thái Thanh toán</t>
  </si>
  <si>
    <t>Phiếu Chi Thanh toán Gốc</t>
  </si>
  <si>
    <t>Phiếu Tạm ứng Hoàn ứng</t>
  </si>
  <si>
    <t>CHI TIẾT PHIẾU NHẬN HÀNG</t>
  </si>
  <si>
    <t>FORM DANH SÁCH PHIẾU NHẬN HÀNG</t>
  </si>
  <si>
    <t xml:space="preserve">DANH SÁCH </t>
  </si>
  <si>
    <t>FORM KẾT NỐI CÂN</t>
  </si>
  <si>
    <t>1. Các thông số cấu hình kết nối:
Cân Shinko Vibra thường sử dụng giao thức RS-232C để kết nối với máy tính. Do đó, bạn cần quan tâm đến các thông số sau:
Cổng COM (COM Port): Đây là cổng nối tiếp mà cân được kết nối vào máy tính. Ví dụ: COM1, COM2, COM3,... Bạn cần xác định chính xác cổng COM mà cân đang sử dụng trên máy tính của bạn.
Tốc độ Baud (Baud Rate): Đây là tốc độ truyền dữ liệu giữa cân và máy tính. Các tốc độ Baud phổ biến là 9600, 19200, 38400, 57600, 115200 bps. Bạn cần kiểm tra tài liệu của cân Shinko Vibra để biết tốc độ Baud mặc định hoặc có thể cấu hình.
Số bit dữ liệu (Data Bits): Thông thường là 8 bit.
Bit chẵn lẻ (Parity): Có thể là None, Even, Odd. Thường được đặt là None.
Bit dừng (Stop Bits): Thông thường là 1 bit.
Điều khiển luồng (Flow Control): Có thể là None, Xon/Xoff, Hardware. Thường được đặt là None.
Lưu ý quan trọng: Các thông số này phải được cấu hình giống nhau trên cả cân và phần mềm của bạn.</t>
  </si>
  <si>
    <t>Giao diện</t>
  </si>
  <si>
    <t>Label "Cổng COM":
ComboBox cbCom (hiển thị danh sách các cổng COM)
Label "Tốc độ Baud":
ComboBox cbBaudRate (1200, 2400, 4800, 9600, 19200, ...)
Label "Số bit dữ liệu":
ComboBox cbDataBit (7, 8)
Label "Parity":
ComboBox cbParity (None, Even, Odd, Mark, Space)
Label "Bit dừng":
ComboBox cbStopBit (One, OnePointFive, Two)
Label "Điều khiển luồng (Handshake)":
ComboBox cbHandshake (None, XOnXOff, RequestToSend, RequestToSendXOnXOff)
Label "ReadTimeout (ms)":
TextBox txtReadTimeout
CheckBox chkRtsEnable: "Bật RTS"
CheckBox chkDtrEnable: "Bật DTR"</t>
  </si>
  <si>
    <t>1. Ẩn/Hiện:
- Ẩn khi Người dùng mở form.
- Hiện khi người dùng chọn Phiếu nhập kho có Trạng thái = Chờ duyệt.
2. Nhấn nút Hủy:
- Hiển thị thông báo: "Xác nhận Hủy phiếu nhập kho?".
+ Yes: Cập nhật Trạng thái của Phiếu nhập kho = Hủy.
+ No: Quay về màn hình Phiếu nhập kho.</t>
  </si>
  <si>
    <t>1. Ẩn/Hiện:
- Ẩn khi Người dùng mở form.
- Hiện khi người dùng chọn Phiếu nhập kho có Trạng thái = Chờ duyệt.
2. Nhấn nút Duyệt: Hiển thị thông báo: "Xác nhận Duyệt phiếu nhập kho?".
- Yes: 
 + Cập nhật Trạng thái của Phiếu nhập kho = Đã duyệt.
 + Cập nhật dữ liệu bảng Tồn kho: theo Cửa hàng, Kho (trên Header) và Loại vàng, Đơn vị tính (theo Detail)
     . TL tổng += TL tổng.
     . TL hột += TL hột.
     . TL vàng += TL vàng.
     . Ngày cập nhật = Ngày hiện tại
- No: Quay về màn hình Phiếu nhập kho.</t>
  </si>
  <si>
    <t xml:space="preserve">Mỗi chành có cách quy Loại vàng khác nhau, có những chành vàng 610 thì quy chuẩn về vàng 62.20, hoặc 62.00 hoăc Quy 10.
Ví dụ: AHOA
</t>
  </si>
  <si>
    <t>A.HOA</t>
  </si>
  <si>
    <t>610 quy về 62.2</t>
  </si>
  <si>
    <t>980 quy về 98.5</t>
  </si>
  <si>
    <t>9999 quy về 99.99</t>
  </si>
  <si>
    <t>TUẤN KIỆT</t>
  </si>
  <si>
    <t>Quy 10</t>
  </si>
  <si>
    <t>THANH DANH</t>
  </si>
  <si>
    <t>Quy 62.2</t>
  </si>
  <si>
    <t>Mua</t>
  </si>
  <si>
    <t>Bán</t>
  </si>
  <si>
    <t>Tuổi thu vào</t>
  </si>
  <si>
    <t>Tuổi bán ra</t>
  </si>
  <si>
    <t>610 đúc</t>
  </si>
  <si>
    <t>610 bọng</t>
  </si>
  <si>
    <t>610 simen</t>
  </si>
  <si>
    <t>610 ngang</t>
  </si>
  <si>
    <t>Phiếu xuất kho (Loại trả chành)</t>
  </si>
  <si>
    <t>TL sau đốt</t>
  </si>
  <si>
    <t>Hao hụt đốt</t>
  </si>
  <si>
    <t>YẾN</t>
  </si>
  <si>
    <t>Tiệm đưa</t>
  </si>
  <si>
    <t>TL Hột</t>
  </si>
  <si>
    <t>Trọng lượng quy 10</t>
  </si>
  <si>
    <t>Lý do</t>
  </si>
  <si>
    <t>980 đúc</t>
  </si>
  <si>
    <t>980 bọng</t>
  </si>
  <si>
    <t>Chành nhận</t>
  </si>
  <si>
    <t>Trừ dơ</t>
  </si>
  <si>
    <t>610 trả lại</t>
  </si>
  <si>
    <t>Trọng lượng hao</t>
  </si>
  <si>
    <t>Chênh lệc TL tổng</t>
  </si>
  <si>
    <t>Chênh lệch TL hột</t>
  </si>
  <si>
    <t>Chênh lệch TL vàng</t>
  </si>
  <si>
    <t>BÁO CÁO CHÊNH LỆCH TRỌNG LƯỢNG TRẢ CHÀNH</t>
  </si>
  <si>
    <t>Chành</t>
  </si>
  <si>
    <t>Đơn vị tính (chỉ)</t>
  </si>
  <si>
    <t>TL Tổng 
(chành nhận)</t>
  </si>
  <si>
    <t>TL hột 
(chành nhận)</t>
  </si>
  <si>
    <t>TL trừ dơ</t>
  </si>
  <si>
    <t>TL Vàng 
(chành nhận)</t>
  </si>
  <si>
    <t>TL tổng 
(Chênh lệch)</t>
  </si>
  <si>
    <t>TL hột 
(chênh lệch)</t>
  </si>
  <si>
    <t>TL vàng
(chênh lệch)</t>
  </si>
  <si>
    <t>TL Quy 10
(Chênh lệch)</t>
  </si>
  <si>
    <t>PX21124141</t>
  </si>
  <si>
    <t>Tuấn Kiệt</t>
  </si>
  <si>
    <t>A Hòa</t>
  </si>
  <si>
    <t>TD</t>
  </si>
  <si>
    <t>BÁO CÁO TỔNG HỢP 
 THÀNH TIỀN GIAO DỊCH THEO LOẠI VÀNG</t>
  </si>
  <si>
    <t>Tổng trọng lượng</t>
  </si>
  <si>
    <t>Đơn giá trung bình</t>
  </si>
  <si>
    <t>BÁO CÁO CHI TIẾT
 THÀNH TIỀN GIAO DỊCH THEO LOẠI VÀNG</t>
  </si>
  <si>
    <t>BÁO CÁO TRỌNG LƯỢNG THEO NHÓM HÀNG</t>
  </si>
  <si>
    <t>TL Quy 10</t>
  </si>
  <si>
    <t>Lắc</t>
  </si>
  <si>
    <t>Mặt</t>
  </si>
  <si>
    <t>BÁO CÁO CHÊNH LỆCH TRỌNG LƯỢNG DẺ NẤU</t>
  </si>
  <si>
    <t>Tham khảo</t>
  </si>
  <si>
    <t>Tuổi phổ</t>
  </si>
  <si>
    <t>Trước nấu</t>
  </si>
  <si>
    <t>Sau nấu</t>
  </si>
  <si>
    <t>Chênh lệch trọng lượng</t>
  </si>
  <si>
    <t>Tuổi đo</t>
  </si>
  <si>
    <t>PXC1021224001</t>
  </si>
  <si>
    <t>PXC1021224003</t>
  </si>
  <si>
    <t>PXC1021224004</t>
  </si>
  <si>
    <t>STT Review</t>
  </si>
  <si>
    <t>Mã nhóm</t>
  </si>
  <si>
    <t>Dinh dưỡng đất</t>
  </si>
  <si>
    <t>Thông tin đất</t>
  </si>
  <si>
    <t>Mục đích sử dụng đất</t>
  </si>
  <si>
    <t>Nhóm vật tư</t>
  </si>
  <si>
    <t>HÓA HỌC ĐẤT (Dinh dưỡng đất)</t>
  </si>
  <si>
    <t>Độ chua hiện tại (pH H2O)</t>
  </si>
  <si>
    <t>Đất trồng cây hàng năm gồm đất trồng lúa và đất trồng cây hàng năm khác</t>
  </si>
  <si>
    <t>Làm đất</t>
  </si>
  <si>
    <t>Độ chua tiềm tàng (pH KCl)</t>
  </si>
  <si>
    <t>Độ chua hiện tại trong đất (pH)</t>
  </si>
  <si>
    <t>Đất trồng cây lâu năm</t>
  </si>
  <si>
    <t>Chuẩn bị cây giống</t>
  </si>
  <si>
    <t>Chất hữu cơ (CHC )(%)</t>
  </si>
  <si>
    <t>pH H2O</t>
  </si>
  <si>
    <t>Đánh giá</t>
  </si>
  <si>
    <t>Đất rừng sản xuất</t>
  </si>
  <si>
    <t>Cơ sở hạ tầng</t>
  </si>
  <si>
    <t>Tỷ lệ C/N (C/N)</t>
  </si>
  <si>
    <t>&lt;6.0</t>
  </si>
  <si>
    <t>Thấp</t>
  </si>
  <si>
    <t>Đất rừng phòng hộ</t>
  </si>
  <si>
    <t>Trồng</t>
  </si>
  <si>
    <t>Đạm tổng số (N ts )(%)</t>
  </si>
  <si>
    <t>6.0 - 7.5</t>
  </si>
  <si>
    <t>Tối hão</t>
  </si>
  <si>
    <t>Đất rừng đặc dụng</t>
  </si>
  <si>
    <t>Tưới &amp; Tiêu nước</t>
  </si>
  <si>
    <t>Lân tổng số (P2O5 ts )(%)</t>
  </si>
  <si>
    <t>&gt;7.5</t>
  </si>
  <si>
    <t>Cao</t>
  </si>
  <si>
    <t>Đất nuôi trồng thủy sản</t>
  </si>
  <si>
    <t>Bón Phân</t>
  </si>
  <si>
    <t>Kali tổng số (K2O ts )(%)</t>
  </si>
  <si>
    <t>Chất hữu cơ trong đất</t>
  </si>
  <si>
    <t>CHẤT HỮU CƠ TRONG ĐẤT</t>
  </si>
  <si>
    <t>Đất làm muối</t>
  </si>
  <si>
    <t>Quản lý cỏ dại</t>
  </si>
  <si>
    <t>Đạm dễ tiêu (N dt )(mg/100g)</t>
  </si>
  <si>
    <t>Chất hữu cơ trong đất %</t>
  </si>
  <si>
    <t>Đất nông nghiệp khác</t>
  </si>
  <si>
    <t>BVTV</t>
  </si>
  <si>
    <t>Lân dễ tiêu (P2O5 dt )(mg/100g)</t>
  </si>
  <si>
    <t>&lt;=1.0</t>
  </si>
  <si>
    <t>Rất nghèo</t>
  </si>
  <si>
    <t>Đất ở gồm đất ở tại nông thôn, đất ở tại đô thị</t>
  </si>
  <si>
    <t>Bảo trì</t>
  </si>
  <si>
    <t>Kali dễ tiêu (K2O dt )(mg/100g)</t>
  </si>
  <si>
    <t>1.1 - 3.0</t>
  </si>
  <si>
    <t>Nghèo</t>
  </si>
  <si>
    <t>Đất xây dựng trụ sở cơ quan</t>
  </si>
  <si>
    <t>Chăm sóc khác</t>
  </si>
  <si>
    <t>Natri  (Na+)(meq/100g )</t>
  </si>
  <si>
    <t>3.0 - 5.0</t>
  </si>
  <si>
    <t>Trung bình</t>
  </si>
  <si>
    <t>Đất sử dụng vào mục đích quốc phòng, an ninh</t>
  </si>
  <si>
    <t>Thu hoạch</t>
  </si>
  <si>
    <t>Kali (K+ )(meq/100g )</t>
  </si>
  <si>
    <t>5.0 - 8.0</t>
  </si>
  <si>
    <t xml:space="preserve">Khá </t>
  </si>
  <si>
    <t>Đất xây dựng công trình</t>
  </si>
  <si>
    <t>Thu gom</t>
  </si>
  <si>
    <t>Caxi (Ca2+ )(meq/100g )</t>
  </si>
  <si>
    <t>&gt;8.1%</t>
  </si>
  <si>
    <t>Giàu</t>
  </si>
  <si>
    <t>Đất sản xuất, kinh doanh phi nông nghiệp</t>
  </si>
  <si>
    <t>Vận chuyển</t>
  </si>
  <si>
    <t>Magie (Mg2+)(meq/100g )</t>
  </si>
  <si>
    <t>ĐẠM TỔNG SỐ</t>
  </si>
  <si>
    <t>Đất sử dụng vào mục đích công cộng</t>
  </si>
  <si>
    <t>Kiểm đếm</t>
  </si>
  <si>
    <t>Kẽm (Zn2+)(meq/100g )</t>
  </si>
  <si>
    <t>Thang đánh giá đất theo hàm lượng Đạm tổng số. Kyuma, 1976</t>
  </si>
  <si>
    <t>Đất cơ sở tôn giáo, tín ngưỡng</t>
  </si>
  <si>
    <t>Xử lý sau thu hoạch</t>
  </si>
  <si>
    <t>Bo (B)(meq/100g )</t>
  </si>
  <si>
    <t>N tổng số (%)</t>
  </si>
  <si>
    <t>Đất làm nghĩa trang, nghĩa địa, nhà tang lễ, nhà hỏa táng</t>
  </si>
  <si>
    <t>Lưu trữ và bảo quản</t>
  </si>
  <si>
    <t>Đồng (Cu2+)(meq/100g )</t>
  </si>
  <si>
    <t>&lt;=0.08</t>
  </si>
  <si>
    <t>Đất sông, ngòi, kênh, rạch, suối và mặt nước chuyên dùng</t>
  </si>
  <si>
    <t>Vật tư tiêu hao khác</t>
  </si>
  <si>
    <t>Molypden (Mo)(meq/100g )</t>
  </si>
  <si>
    <t>0.081 - 0.10</t>
  </si>
  <si>
    <t>Đất phi nông nghiêp khác</t>
  </si>
  <si>
    <t>GM</t>
  </si>
  <si>
    <t>Silic (SiO2) (meq/100g )</t>
  </si>
  <si>
    <t>0.11 - 0.15</t>
  </si>
  <si>
    <t>Nhóm đất chưa sử dụng</t>
  </si>
  <si>
    <t>SRM</t>
  </si>
  <si>
    <t>Mangan (Mn2+)(meq/100g )</t>
  </si>
  <si>
    <t>0.16 - 0.20</t>
  </si>
  <si>
    <t>MGC</t>
  </si>
  <si>
    <t>HÓA HỌC ĐẤT (Độc chất trong đất)</t>
  </si>
  <si>
    <t>Sunfat (SO42- )(meq/100g )</t>
  </si>
  <si>
    <t>&gt;0.20</t>
  </si>
  <si>
    <t>UOM</t>
  </si>
  <si>
    <t>Clorua (Cl- )(%)</t>
  </si>
  <si>
    <t>LÂN TỔNG SỐ</t>
  </si>
  <si>
    <t>VTTH LAB</t>
  </si>
  <si>
    <t>Lưu Huỳnh (S )(meq/100g )</t>
  </si>
  <si>
    <t>Thang đánh giá đất theo hàm lượng Lân tổng số %P2O5. Lê Văn Căn, 1978</t>
  </si>
  <si>
    <t>Nhôm (Al3+ )(meq/100g )</t>
  </si>
  <si>
    <t>Lân tổng số (%)</t>
  </si>
  <si>
    <t>Sắt tự do ( Fe2O3 )(% )</t>
  </si>
  <si>
    <t>&lt;=0.04</t>
  </si>
  <si>
    <t>Asen (As)(mg/100g)</t>
  </si>
  <si>
    <t>0.04 - 0.06</t>
  </si>
  <si>
    <t>Cadimi(mg/100g)</t>
  </si>
  <si>
    <t>0.061 - 0.08</t>
  </si>
  <si>
    <t>Chì (Pb)(mg/100g)</t>
  </si>
  <si>
    <t>0.08 - 0.13</t>
  </si>
  <si>
    <t>Thủy ngân (Hg)(mg/100g)</t>
  </si>
  <si>
    <t>&gt;0.13</t>
  </si>
  <si>
    <t>HÓA HỌC ĐẤT (Tồn dư thuốc BVTV trong đất)</t>
  </si>
  <si>
    <t>Dichloro-Diphenyl-Trichloroethane (DDT)(mg/kg)</t>
  </si>
  <si>
    <t>KALI TỔNG SỐ</t>
  </si>
  <si>
    <t>2,4-dichlorophenoxyacetic acid (2,4-D) (mg/kg)</t>
  </si>
  <si>
    <t>Thang đánh giá đất theo hàm lượng K2O tổng số, %. Kyuma, 1976</t>
  </si>
  <si>
    <t>Hexachlorocyclohexane (HCH) (mg/kg)</t>
  </si>
  <si>
    <t>K2O tổng số (%)</t>
  </si>
  <si>
    <t>Benzo(a)pyrene (mg/kg)</t>
  </si>
  <si>
    <t>Benzene hexachloride (mg/kg)</t>
  </si>
  <si>
    <t>0.81 - 1.50</t>
  </si>
  <si>
    <t>LÝ HỌC ĐẤT</t>
  </si>
  <si>
    <t>Khả năng trao đổi cation (CEC )(%)</t>
  </si>
  <si>
    <t>1.51 - 2.00</t>
  </si>
  <si>
    <t>Độ dẫn điện (EC)(mS/cm)</t>
  </si>
  <si>
    <t>&gt; 2.01</t>
  </si>
  <si>
    <t>Độ ẩm đất (%)</t>
  </si>
  <si>
    <t>Sét(%)</t>
  </si>
  <si>
    <t>Dung trọng (g/cm3)</t>
  </si>
  <si>
    <t>DUNG TRỌNG ĐẤT</t>
  </si>
  <si>
    <t>Thịt (%)</t>
  </si>
  <si>
    <t>Thang đánh giá dung trọng đất, g/cm3. N.A.Karchinski, 1965</t>
  </si>
  <si>
    <t>Cát(%)</t>
  </si>
  <si>
    <t xml:space="preserve">Dung trọng </t>
  </si>
  <si>
    <t>Đất quá khô hoặc giàu chất hữu cơ</t>
  </si>
  <si>
    <t>Độ xốp(%)</t>
  </si>
  <si>
    <t xml:space="preserve">1.0 - 1.1 </t>
  </si>
  <si>
    <t>Đất mới được xới</t>
  </si>
  <si>
    <t>Nguy cơ xói mòn(Điểm)</t>
  </si>
  <si>
    <t>1.2 - 1.3</t>
  </si>
  <si>
    <t>Đất bị nén dẻ</t>
  </si>
  <si>
    <t>SINH HỌC ĐẤT</t>
  </si>
  <si>
    <t>Hoạt động vi sinh vật(mg N/kg)</t>
  </si>
  <si>
    <t>1.3 - 1.4</t>
  </si>
  <si>
    <t>Đất chặt, bị nén dẻ mạnh</t>
  </si>
  <si>
    <t>Sinh khối vi sinh vật (mg C/kg)</t>
  </si>
  <si>
    <t>1.4 - 1.6</t>
  </si>
  <si>
    <t>Đất rất chặt, thường thấy ở tầng đế cày ( tầng mặt)</t>
  </si>
  <si>
    <t>Tỷ lệ nấm/vi khuẩn</t>
  </si>
  <si>
    <t>1.6 -1.8</t>
  </si>
  <si>
    <t>Đất quá chặt, thường thấy ở tầng tích tụ</t>
  </si>
  <si>
    <t>ĐỘ XỐP CỦA ĐẤT</t>
  </si>
  <si>
    <t>Thang đánh giá độ xốp của đất (% thể tích đất). N.A.Karchinski, 1965</t>
  </si>
  <si>
    <t>Độ xốp (%)</t>
  </si>
  <si>
    <t>&gt;=70</t>
  </si>
  <si>
    <t>Đất quá xốp hoặc đất quá khô</t>
  </si>
  <si>
    <t>Mã thửa</t>
  </si>
  <si>
    <t>Polygon</t>
  </si>
  <si>
    <t>Diện tích (ha)</t>
  </si>
  <si>
    <t>65 - 55</t>
  </si>
  <si>
    <t>Đất xốp (lớp đất ở tầng mặt)</t>
  </si>
  <si>
    <t>0501001</t>
  </si>
  <si>
    <t>10.2272799149476,106.548119512158;10.2271761555751,106.548363773921;10.2289557375287,106.548691827081;10.2290420152891,106.548474123697;10.2283853476286,106.548862475582;10.2272753275641,106.548418972698;10.2271741161153,106.548792703949;10.2283211137442,106.54904475974;10.2294064897366,106.548967830852;10.2294253499389,106.548803615883</t>
  </si>
  <si>
    <t>55 - 50</t>
  </si>
  <si>
    <t>Trung bình ở đất mặt</t>
  </si>
  <si>
    <t>0501003.01</t>
  </si>
  <si>
    <t>10.2266228381021,106.550019346155;10.2266483205626,106.55123643967;10.2270729330043,106.551116720816;10.2271052697277,106.550514375719;10.227324352988,106.550502492904;10.2272612774067,106.550061505767</t>
  </si>
  <si>
    <t>40 - 50</t>
  </si>
  <si>
    <t>Đất chặt, không đạt yêu cầu</t>
  </si>
  <si>
    <t>0501003.02</t>
  </si>
  <si>
    <t>10.2275693838982,106.55052769171;10.2275808231637,106.550745114795;10.2281271908255,106.550740691329;10.2281313023289,106.550522665901</t>
  </si>
  <si>
    <t>&lt;40</t>
  </si>
  <si>
    <t>0501004</t>
  </si>
  <si>
    <t>10.2259074166462,106.547079693276;10.2258517502895,106.547380636605;10.2266377422651,106.547512243407;10.2267569005139,106.547165995835</t>
  </si>
  <si>
    <t>Sét, Thịt,Cát (%)</t>
  </si>
  <si>
    <t>LOẠI ĐẤT</t>
  </si>
  <si>
    <t>0501005.01</t>
  </si>
  <si>
    <t>10.2274587305507,106.551687602742;10.2273340034624,106.551285379025;10.2266461891173,106.551437237907;10.2267709997058,106.551802957266</t>
  </si>
  <si>
    <t>Loại đất</t>
  </si>
  <si>
    <t>Cát%</t>
  </si>
  <si>
    <t>Thịt %</t>
  </si>
  <si>
    <t>Sét %</t>
  </si>
  <si>
    <t>Độ ưu tiên</t>
  </si>
  <si>
    <t>0501005.02</t>
  </si>
  <si>
    <t>10.2274865540584,106.549887906514;10.2275491681867,106.550273947714;10.2288761271685,106.550224914443;10.2288661669651,106.549924554232</t>
  </si>
  <si>
    <t xml:space="preserve">Cát </t>
  </si>
  <si>
    <t>80 - 100</t>
  </si>
  <si>
    <t>0 - 20</t>
  </si>
  <si>
    <t>x&amp;y&amp;z (x+y+z =100%)</t>
  </si>
  <si>
    <t>0501006</t>
  </si>
  <si>
    <t>10.2312162618824,106.539118521094;10.231086819444,106.539729517415;10.2316379632105,106.539805183218;10.2316501964029,106.539129794427</t>
  </si>
  <si>
    <t xml:space="preserve">Thịt pha cát </t>
  </si>
  <si>
    <t>50 - 80</t>
  </si>
  <si>
    <t>0 - 50</t>
  </si>
  <si>
    <t>0501007</t>
  </si>
  <si>
    <t>10.2345386579486,106.534387984654;10.2344736611979,106.534752797389;10.2351597985923,106.534975200701;10.2353059775951,106.534647282478</t>
  </si>
  <si>
    <t xml:space="preserve">Thịt nhẹ </t>
  </si>
  <si>
    <t>30 - 50</t>
  </si>
  <si>
    <t>0501008</t>
  </si>
  <si>
    <t>10.2350013897947,106.534043372561;10.234963209972,106.53447221746;10.2354779835813,106.534593314018;10.235452586995,106.534228065728</t>
  </si>
  <si>
    <t>Thịt trung bình</t>
  </si>
  <si>
    <t>50 - 100</t>
  </si>
  <si>
    <t>0501009</t>
  </si>
  <si>
    <t>10.2356790908524,106.534137928865;10.2357168833873,106.533791198683;10.2350392249286,106.533687535834;10.2350014760099,106.534025082759;10.2354256409141,106.534191431012;10.2354805223414,106.534054781743</t>
  </si>
  <si>
    <t>Thịt pha sét</t>
  </si>
  <si>
    <t>20 - 50</t>
  </si>
  <si>
    <t>20 - 30</t>
  </si>
  <si>
    <t>0501010</t>
  </si>
  <si>
    <t>10.2359625413931,106.533472939733;10.2363070572456,106.533430637687;10.2361093213551,106.533017216977;10.2356360882533,106.533672187809;10.2358164021024,106.533773461791;10.2359107092281,106.532943252928;10.2360085985146,106.533290559821;10.2362694493613,106.533565639209</t>
  </si>
  <si>
    <t>Sét pha cát</t>
  </si>
  <si>
    <t>50 - 70</t>
  </si>
  <si>
    <t>0501011</t>
  </si>
  <si>
    <t>10.2359894874731,106.533509574266;10.2364582041299,106.533813050186;10.2363934614424,106.534104856032;10.2357796855581,106.533891908404</t>
  </si>
  <si>
    <t>Sét pha thịt</t>
  </si>
  <si>
    <t>0501012</t>
  </si>
  <si>
    <t>10.2362340922292,106.534086101196;10.2355955420994,106.534603061721;10.2353583195833,106.535049165298;10.2357123219684,106.534758750885;10.2360889450898,106.534732034507;10.2357017328007,106.535087321251;10.2354056687412,106.534592966344;10.2357340584938,106.533982989609</t>
  </si>
  <si>
    <t>Sét</t>
  </si>
  <si>
    <t>0501013</t>
  </si>
  <si>
    <t>10.2371025847972,106.535203572521;10.2369901497883,106.536042803162;10.2375873961594,106.535927053362;10.2377077936636,106.535316074251</t>
  </si>
  <si>
    <t>HOẠT ĐỘNG VI SINH VẬT</t>
  </si>
  <si>
    <t>0501014</t>
  </si>
  <si>
    <t>10.2401950591208,106.533219366748;10.2405133759778,106.532828441075;10.2409405952353,106.532346659939;10.2402906562459,106.532115322362;10.2408656138402,106.532912251874;10.2404114914398,106.533348214121</t>
  </si>
  <si>
    <t>Sinh khối mg N/kg</t>
  </si>
  <si>
    <t>&lt;25</t>
  </si>
  <si>
    <t>25 - 41</t>
  </si>
  <si>
    <t>&gt;41</t>
  </si>
  <si>
    <t>NGUY CƠ XÓI MÒN</t>
  </si>
  <si>
    <t>Điểm</t>
  </si>
  <si>
    <t>&lt;6</t>
  </si>
  <si>
    <t>6-8</t>
  </si>
  <si>
    <t>&gt;8</t>
  </si>
  <si>
    <t>ĐỘ MẶN TRONG ĐẤT</t>
  </si>
  <si>
    <t>Trích bão hòa (mS/cm)</t>
  </si>
  <si>
    <t>f</t>
  </si>
  <si>
    <t>&lt; 2.00</t>
  </si>
  <si>
    <t>Không mặn</t>
  </si>
  <si>
    <t>2.00 - 4.00</t>
  </si>
  <si>
    <t>Mặn nhẹ</t>
  </si>
  <si>
    <t>4.10 - 8.00</t>
  </si>
  <si>
    <t>Mặn trung bình</t>
  </si>
  <si>
    <t>8.10 - 16.00</t>
  </si>
  <si>
    <t>Mặn nhiều</t>
  </si>
  <si>
    <t>&gt;16.00</t>
  </si>
  <si>
    <t>Rất mặn</t>
  </si>
  <si>
    <t xml:space="preserve">ĐỘC CHẤT SẮT TRONG ĐẤT </t>
  </si>
  <si>
    <t>Sắt tự do ( Fe2O3 ) (% )</t>
  </si>
  <si>
    <t>Thang đánh giá đất theo hàm lượng Fe2O3 tự do</t>
  </si>
  <si>
    <t xml:space="preserve"> Fe2O3 tự do (%)</t>
  </si>
  <si>
    <t>&lt;0.5</t>
  </si>
  <si>
    <t>0.6 - 1.0</t>
  </si>
  <si>
    <t>1.1 - 1.5</t>
  </si>
  <si>
    <t>&gt;1.6</t>
  </si>
  <si>
    <t>Rất cao</t>
  </si>
  <si>
    <t>ĐỘC CHẤT NHÔM TRONG ĐẤT</t>
  </si>
  <si>
    <t>Thang đánh giá đất theo hàm lượng Al3+ trao đổi (meq/100g đất)</t>
  </si>
  <si>
    <t xml:space="preserve"> Al3+ trao đổi (meq/100g đất)</t>
  </si>
  <si>
    <t>&lt;5.0</t>
  </si>
  <si>
    <t xml:space="preserve">5.1 - 10.0 </t>
  </si>
  <si>
    <t>10.1 - 20.0</t>
  </si>
  <si>
    <t>&gt;20.1</t>
  </si>
  <si>
    <t xml:space="preserve"> PHÈN TRONG ĐẤT</t>
  </si>
  <si>
    <t>SO42- (meq/100g đất)</t>
  </si>
  <si>
    <t>0 -0.09</t>
  </si>
  <si>
    <t xml:space="preserve">Không phèn </t>
  </si>
  <si>
    <t>0.1 - 0.2</t>
  </si>
  <si>
    <t>Phèn ít</t>
  </si>
  <si>
    <t>0.21 - 0.30</t>
  </si>
  <si>
    <t>Phèn trung bình</t>
  </si>
  <si>
    <t>0.31 - 0.80</t>
  </si>
  <si>
    <t>Phèn nhiều</t>
  </si>
  <si>
    <t>&gt;0.81</t>
  </si>
  <si>
    <t>Rất phèn</t>
  </si>
  <si>
    <t>Tầng canh tác (cm)</t>
  </si>
  <si>
    <t>Độ dày (cm)</t>
  </si>
  <si>
    <t>&gt;=10 cm</t>
  </si>
  <si>
    <t>Mỏng</t>
  </si>
  <si>
    <t>10 - 15 cm</t>
  </si>
  <si>
    <t>&gt; 15 cm</t>
  </si>
  <si>
    <t>Dày</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</si>
</sst>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dd/yyyy"/>
    <numFmt numFmtId="165" formatCode="0.000"/>
    <numFmt numFmtId="166" formatCode="m/d/yyyy"/>
    <numFmt numFmtId="167" formatCode="d&quot;-&quot;mmm&quot;-&quot;yyyy"/>
    <numFmt numFmtId="168" formatCode="#,##0.0000"/>
    <numFmt numFmtId="169" formatCode="dd&quot;/&quot;mm&quot;/&quot;yyyy"/>
    <numFmt numFmtId="170" formatCode="#,##0.000"/>
  </numFmts>
  <fonts count="59">
    <font>
      <sz val="11.0"/>
      <color theme="1"/>
      <name val="Calibri"/>
      <scheme val="minor"/>
    </font>
    <font>
      <b/>
      <sz val="14.0"/>
      <color theme="1"/>
      <name val="Times New Roman"/>
    </font>
    <font>
      <b/>
      <sz val="12.0"/>
      <color theme="0"/>
      <name val="Times New Roman"/>
    </font>
    <font>
      <b/>
      <sz val="12.0"/>
      <color rgb="FFFFFFFF"/>
      <name val="Times New Roman"/>
    </font>
    <font>
      <b/>
      <sz val="11.0"/>
      <color theme="0"/>
      <name val="Calibri"/>
    </font>
    <font>
      <sz val="12.0"/>
      <color theme="1"/>
      <name val="Calibri"/>
      <scheme val="minor"/>
    </font>
    <font>
      <color theme="1"/>
      <name val="Times New Roman"/>
    </font>
    <font>
      <color theme="1"/>
      <name val="Calibri"/>
      <scheme val="minor"/>
    </font>
    <font>
      <sz val="11.0"/>
      <color theme="1"/>
      <name val="Times New Roman"/>
    </font>
    <font>
      <sz val="11.0"/>
      <color rgb="FF1A1A1A"/>
      <name val="Times New Roman"/>
    </font>
    <font>
      <u/>
      <color rgb="FF0000FF"/>
      <name val="Times New Roman"/>
    </font>
    <font>
      <b/>
      <color rgb="FFFF0000"/>
      <name val="Times New Roman"/>
    </font>
    <font>
      <u/>
      <color rgb="FF0000FF"/>
      <name val="Times New Roman"/>
    </font>
    <font>
      <u/>
      <color rgb="FF0563C1"/>
      <name val="Times New Roman"/>
    </font>
    <font>
      <u/>
      <color rgb="FF0000FF"/>
    </font>
    <font>
      <u/>
      <color rgb="FF0000FF"/>
    </font>
    <font>
      <u/>
      <sz val="11.0"/>
      <color rgb="FF0000FF"/>
      <name val="Times New Roman"/>
    </font>
    <font>
      <b/>
      <sz val="11.0"/>
      <color rgb="FFFFFFFF"/>
      <name val="Calibri"/>
    </font>
    <font>
      <u/>
      <color rgb="FF0000FF"/>
      <name val="Times New Roman"/>
    </font>
    <font>
      <b/>
      <sz val="11.0"/>
      <color theme="1"/>
      <name val="Calibri"/>
    </font>
    <font>
      <b/>
      <color theme="1"/>
      <name val="Calibri"/>
      <scheme val="minor"/>
    </font>
    <font>
      <sz val="11.0"/>
      <color theme="1"/>
      <name val="Calibri"/>
    </font>
    <font>
      <b/>
      <sz val="11.0"/>
      <color rgb="FFFF0000"/>
      <name val="Calibri"/>
    </font>
    <font>
      <b/>
      <sz val="13.0"/>
      <color theme="1"/>
      <name val="Calibri"/>
    </font>
    <font>
      <sz val="13.0"/>
      <color theme="1"/>
      <name val="Calibri"/>
      <scheme val="minor"/>
    </font>
    <font>
      <color theme="1"/>
      <name val="Arial"/>
    </font>
    <font>
      <b/>
      <color theme="1"/>
      <name val="Arial"/>
    </font>
    <font>
      <strike/>
      <color theme="1"/>
      <name val="Arial"/>
    </font>
    <font>
      <sz val="11.0"/>
      <color rgb="FFFFFFFF"/>
      <name val="Calibri"/>
    </font>
    <font>
      <b/>
      <sz val="11.0"/>
      <color rgb="FF000000"/>
      <name val="Calibri"/>
    </font>
    <font>
      <sz val="11.0"/>
      <color rgb="FF000000"/>
      <name val="Calibri"/>
    </font>
    <font>
      <u/>
      <sz val="11.0"/>
      <color rgb="FF0000FF"/>
      <name val="Calibri"/>
    </font>
    <font>
      <b/>
      <sz val="11.0"/>
      <color rgb="FF38761D"/>
      <name val="Calibri"/>
    </font>
    <font>
      <b/>
      <sz val="13.0"/>
      <color theme="1"/>
      <name val="Times New Roman"/>
    </font>
    <font>
      <b/>
      <color theme="0"/>
      <name val="Times New Roman"/>
    </font>
    <font>
      <b/>
      <color rgb="FFFFFFFF"/>
      <name val="Times New Roman"/>
    </font>
    <font>
      <b/>
      <color theme="1"/>
      <name val="Times New Roman"/>
    </font>
    <font>
      <b/>
      <sz val="16.0"/>
      <color theme="1"/>
      <name val="Calibri"/>
    </font>
    <font>
      <b/>
      <i/>
      <sz val="11.0"/>
      <color theme="0"/>
      <name val="Calibri"/>
    </font>
    <font>
      <i/>
      <sz val="10.0"/>
      <color theme="1"/>
      <name val="Calibri"/>
    </font>
    <font>
      <sz val="10.0"/>
      <color theme="1"/>
      <name val="Calibri"/>
    </font>
    <font>
      <strike/>
      <sz val="11.0"/>
      <color theme="1"/>
      <name val="Calibri"/>
    </font>
    <font>
      <sz val="11.0"/>
      <color rgb="FFFF0000"/>
      <name val="Calibri"/>
    </font>
    <font>
      <sz val="10.0"/>
      <color rgb="FF242424"/>
      <name val="Quattrocento Sans"/>
    </font>
    <font>
      <b/>
      <sz val="20.0"/>
      <color theme="1"/>
      <name val="Calibri"/>
    </font>
    <font/>
    <font>
      <b/>
      <color rgb="FFFFFFFF"/>
      <name val="Calibri"/>
      <scheme val="minor"/>
    </font>
    <font>
      <b/>
      <color theme="0"/>
      <name val="Calibri"/>
      <scheme val="minor"/>
    </font>
    <font>
      <b/>
      <color rgb="FFFF0000"/>
      <name val="Calibri"/>
      <scheme val="minor"/>
    </font>
    <font>
      <i/>
      <color rgb="FFFF0000"/>
      <name val="Calibri"/>
      <scheme val="minor"/>
    </font>
    <font>
      <strike/>
      <color theme="1"/>
      <name val="Calibri"/>
      <scheme val="minor"/>
    </font>
    <font>
      <color rgb="FF000000"/>
      <name val="Calibri"/>
      <scheme val="minor"/>
    </font>
    <font>
      <b/>
      <color theme="4"/>
      <name val="Times New Roman"/>
    </font>
    <font>
      <b/>
      <sz val="11.0"/>
      <color rgb="FF757070"/>
      <name val="Calibri"/>
    </font>
    <font>
      <sz val="11.0"/>
      <color rgb="FF757070"/>
      <name val="Calibri"/>
    </font>
    <font>
      <sz val="11.0"/>
      <color theme="1"/>
      <name val="Cambria"/>
    </font>
    <font>
      <sz val="11.0"/>
      <color rgb="FFFF0000"/>
      <name val="Cambria"/>
    </font>
    <font>
      <sz val="9.0"/>
      <color rgb="FF000000"/>
      <name val="Arial"/>
    </font>
    <font>
      <sz val="11.0"/>
      <color theme="0"/>
      <name val="Calibri"/>
    </font>
  </fonts>
  <fills count="18">
    <fill>
      <patternFill patternType="none"/>
    </fill>
    <fill>
      <patternFill patternType="lightGray"/>
    </fill>
    <fill>
      <patternFill patternType="solid">
        <fgColor rgb="FF0070C0"/>
        <bgColor rgb="FF0070C0"/>
      </patternFill>
    </fill>
    <fill>
      <patternFill patternType="solid">
        <fgColor rgb="FFFF9900"/>
        <bgColor rgb="FFFF9900"/>
      </patternFill>
    </fill>
    <fill>
      <patternFill patternType="solid">
        <fgColor rgb="FF00FF00"/>
        <bgColor rgb="FF00FF00"/>
      </patternFill>
    </fill>
    <fill>
      <patternFill patternType="solid">
        <fgColor rgb="FFFFFF00"/>
        <bgColor rgb="FFFFFF00"/>
      </patternFill>
    </fill>
    <fill>
      <patternFill patternType="solid">
        <fgColor rgb="FF4472C4"/>
        <bgColor rgb="FF4472C4"/>
      </patternFill>
    </fill>
    <fill>
      <patternFill patternType="solid">
        <fgColor theme="0"/>
        <bgColor theme="0"/>
      </patternFill>
    </fill>
    <fill>
      <patternFill patternType="solid">
        <fgColor rgb="FFFF0000"/>
        <bgColor rgb="FFFF0000"/>
      </patternFill>
    </fill>
    <fill>
      <patternFill patternType="solid">
        <fgColor rgb="FF7F7F7F"/>
        <bgColor rgb="FF7F7F7F"/>
      </patternFill>
    </fill>
    <fill>
      <patternFill patternType="solid">
        <fgColor theme="9"/>
        <bgColor theme="9"/>
      </patternFill>
    </fill>
    <fill>
      <patternFill patternType="solid">
        <fgColor rgb="FFEFEFEF"/>
        <bgColor rgb="FFEFEFEF"/>
      </patternFill>
    </fill>
    <fill>
      <patternFill patternType="solid">
        <fgColor rgb="FF93C47D"/>
        <bgColor rgb="FF93C47D"/>
      </patternFill>
    </fill>
    <fill>
      <patternFill patternType="solid">
        <fgColor rgb="FF9FC5E8"/>
        <bgColor rgb="FF9FC5E8"/>
      </patternFill>
    </fill>
    <fill>
      <patternFill patternType="solid">
        <fgColor rgb="FFF3F3F3"/>
        <bgColor rgb="FFF3F3F3"/>
      </patternFill>
    </fill>
    <fill>
      <patternFill patternType="solid">
        <fgColor rgb="FFD9D9D9"/>
        <bgColor rgb="FFD9D9D9"/>
      </patternFill>
    </fill>
    <fill>
      <patternFill patternType="solid">
        <fgColor theme="4"/>
        <bgColor theme="4"/>
      </patternFill>
    </fill>
    <fill>
      <patternFill patternType="solid">
        <fgColor rgb="FFD9E2F3"/>
        <bgColor rgb="FFD9E2F3"/>
      </patternFill>
    </fill>
  </fills>
  <borders count="23">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right/>
      <top style="thin">
        <color rgb="FF8EAADB"/>
      </top>
      <bottom style="thin">
        <color rgb="FF8EAADB"/>
      </bottom>
    </border>
    <border>
      <left style="thin">
        <color rgb="FF000000"/>
      </left>
      <right style="thin">
        <color rgb="FF000000"/>
      </right>
    </border>
    <border>
      <top style="thin">
        <color rgb="FF8EAADB"/>
      </top>
      <bottom style="thin">
        <color rgb="FF8EAADB"/>
      </bottom>
    </border>
    <border>
      <top style="thin">
        <color rgb="FF8EAADB"/>
      </top>
    </border>
    <border>
      <left style="thin">
        <color rgb="FF000000"/>
      </left>
      <right style="thin">
        <color rgb="FF000000"/>
      </right>
      <top/>
      <bottom style="thin">
        <color rgb="FF000000"/>
      </bottom>
    </border>
    <border>
      <left style="thin">
        <color rgb="FF000000"/>
      </left>
      <right/>
      <top style="thin">
        <color rgb="FF000000"/>
      </top>
      <bottom/>
    </border>
  </borders>
  <cellStyleXfs count="1">
    <xf borderId="0" fillId="0" fontId="0" numFmtId="0" applyAlignment="1" applyFont="1"/>
  </cellStyleXfs>
  <cellXfs count="357">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horizontal="center" readingOrder="0" vertical="center"/>
    </xf>
    <xf borderId="1" fillId="2" fontId="2" numFmtId="0" xfId="0" applyBorder="1" applyFill="1" applyFont="1"/>
    <xf borderId="1" fillId="2" fontId="3" numFmtId="0" xfId="0" applyAlignment="1" applyBorder="1" applyFont="1">
      <alignment readingOrder="0"/>
    </xf>
    <xf borderId="1" fillId="2" fontId="4" numFmtId="0" xfId="0" applyAlignment="1" applyBorder="1" applyFont="1">
      <alignment vertical="center"/>
    </xf>
    <xf borderId="0" fillId="0" fontId="5" numFmtId="0" xfId="0" applyFont="1"/>
    <xf borderId="0" fillId="0" fontId="6" numFmtId="0" xfId="0" applyAlignment="1" applyFont="1">
      <alignment horizontal="right" vertical="bottom"/>
    </xf>
    <xf borderId="0" fillId="0" fontId="6" numFmtId="0" xfId="0" applyFont="1"/>
    <xf borderId="0" fillId="0" fontId="6" numFmtId="0" xfId="0" applyFont="1"/>
    <xf borderId="0" fillId="0" fontId="7" numFmtId="0" xfId="0" applyAlignment="1" applyFont="1">
      <alignment readingOrder="0" vertical="center"/>
    </xf>
    <xf borderId="0" fillId="0" fontId="6" numFmtId="0" xfId="0" applyAlignment="1" applyFont="1">
      <alignment readingOrder="0"/>
    </xf>
    <xf borderId="0" fillId="0" fontId="8" numFmtId="0" xfId="0" applyAlignment="1" applyFont="1">
      <alignment vertical="bottom"/>
    </xf>
    <xf borderId="0" fillId="0" fontId="9" numFmtId="0" xfId="0" applyAlignment="1" applyFont="1">
      <alignment vertical="bottom"/>
    </xf>
    <xf borderId="0" fillId="0" fontId="8" numFmtId="0" xfId="0" applyAlignment="1" applyFont="1">
      <alignment vertical="bottom"/>
    </xf>
    <xf borderId="0" fillId="0" fontId="8" numFmtId="0" xfId="0" applyAlignment="1" applyFont="1">
      <alignment readingOrder="0" vertical="bottom"/>
    </xf>
    <xf borderId="0" fillId="0" fontId="7" numFmtId="0" xfId="0" applyFont="1"/>
    <xf borderId="0" fillId="0" fontId="10" numFmtId="0" xfId="0" applyAlignment="1" applyFont="1">
      <alignment readingOrder="0"/>
    </xf>
    <xf borderId="0" fillId="0" fontId="11" numFmtId="0" xfId="0" applyAlignment="1" applyFont="1">
      <alignment readingOrder="0"/>
    </xf>
    <xf borderId="0" fillId="0" fontId="7" numFmtId="0" xfId="0" applyAlignment="1" applyFont="1">
      <alignment readingOrder="0"/>
    </xf>
    <xf borderId="0" fillId="0" fontId="7"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3" fontId="7" numFmtId="0" xfId="0" applyAlignment="1" applyFill="1" applyFont="1">
      <alignment readingOrder="0"/>
    </xf>
    <xf borderId="0" fillId="0" fontId="14" numFmtId="0" xfId="0" applyAlignment="1" applyFont="1">
      <alignment readingOrder="0"/>
    </xf>
    <xf borderId="0" fillId="4" fontId="8" numFmtId="0" xfId="0" applyAlignment="1" applyFill="1" applyFont="1">
      <alignment readingOrder="0" vertical="top"/>
    </xf>
    <xf borderId="0" fillId="0" fontId="15" numFmtId="0" xfId="0" applyAlignment="1" applyFont="1">
      <alignment readingOrder="0"/>
    </xf>
    <xf borderId="0" fillId="0" fontId="6" numFmtId="0" xfId="0" applyAlignment="1" applyFont="1">
      <alignment readingOrder="0"/>
    </xf>
    <xf borderId="0" fillId="4" fontId="8" numFmtId="0" xfId="0" applyAlignment="1" applyFont="1">
      <alignment readingOrder="0" vertical="bottom"/>
    </xf>
    <xf borderId="0" fillId="0" fontId="16" numFmtId="0" xfId="0" applyAlignment="1" applyFont="1">
      <alignment readingOrder="0" vertical="bottom"/>
    </xf>
    <xf borderId="1" fillId="2" fontId="17" numFmtId="0" xfId="0" applyAlignment="1" applyBorder="1" applyFont="1">
      <alignment readingOrder="0" vertical="center"/>
    </xf>
    <xf borderId="0" fillId="0" fontId="6" numFmtId="0" xfId="0" applyAlignment="1" applyFont="1">
      <alignment horizontal="right" vertical="top"/>
    </xf>
    <xf borderId="0" fillId="0" fontId="8" numFmtId="0" xfId="0" applyAlignment="1" applyFont="1">
      <alignment readingOrder="0" vertical="top"/>
    </xf>
    <xf borderId="0" fillId="0" fontId="6" numFmtId="0" xfId="0" applyAlignment="1" applyFont="1">
      <alignment readingOrder="0" vertical="top"/>
    </xf>
    <xf borderId="0" fillId="0" fontId="18" numFmtId="0" xfId="0" applyAlignment="1" applyFont="1">
      <alignment readingOrder="0" shrinkToFit="0" vertical="top" wrapText="0"/>
    </xf>
    <xf borderId="0" fillId="0" fontId="7" numFmtId="0" xfId="0" applyAlignment="1" applyFont="1">
      <alignment readingOrder="0" vertical="top"/>
    </xf>
    <xf borderId="0" fillId="0" fontId="7" numFmtId="0" xfId="0" applyAlignment="1" applyFont="1">
      <alignment vertical="top"/>
    </xf>
    <xf borderId="0" fillId="0" fontId="6" numFmtId="0" xfId="0" applyAlignment="1" applyFont="1">
      <alignment readingOrder="0" shrinkToFit="0" vertical="top" wrapText="0"/>
    </xf>
    <xf borderId="0" fillId="0" fontId="9" numFmtId="0" xfId="0" applyAlignment="1" applyFont="1">
      <alignment readingOrder="0" vertical="bottom"/>
    </xf>
    <xf borderId="0" fillId="0" fontId="19" numFmtId="0" xfId="0" applyFont="1"/>
    <xf borderId="0" fillId="0" fontId="19" numFmtId="0" xfId="0" applyAlignment="1" applyFont="1">
      <alignment readingOrder="0"/>
    </xf>
    <xf borderId="0" fillId="0" fontId="20" numFmtId="0" xfId="0" applyAlignment="1" applyFont="1">
      <alignment readingOrder="0"/>
    </xf>
    <xf borderId="0" fillId="0" fontId="21" numFmtId="0" xfId="0" applyFont="1"/>
    <xf borderId="0" fillId="0" fontId="21" numFmtId="0" xfId="0" applyAlignment="1" applyFont="1">
      <alignment readingOrder="0"/>
    </xf>
    <xf borderId="2" fillId="0" fontId="7" numFmtId="0" xfId="0" applyAlignment="1" applyBorder="1" applyFont="1">
      <alignment readingOrder="0" shrinkToFit="0" vertical="center" wrapText="1"/>
    </xf>
    <xf borderId="2" fillId="0" fontId="7" numFmtId="0" xfId="0" applyAlignment="1" applyBorder="1" applyFont="1">
      <alignment readingOrder="0" shrinkToFit="0" vertical="top" wrapText="1"/>
    </xf>
    <xf borderId="0" fillId="0" fontId="4" numFmtId="0" xfId="0" applyAlignment="1" applyFont="1">
      <alignment horizontal="center" shrinkToFit="0" vertical="center" wrapText="1"/>
    </xf>
    <xf borderId="0" fillId="0" fontId="17" numFmtId="0" xfId="0" applyAlignment="1" applyFont="1">
      <alignment horizontal="center" shrinkToFit="0" vertical="center" wrapText="1"/>
    </xf>
    <xf borderId="0" fillId="0" fontId="21" numFmtId="0" xfId="0" applyAlignment="1" applyFont="1">
      <alignment vertical="center"/>
    </xf>
    <xf borderId="0" fillId="0" fontId="21" numFmtId="0" xfId="0" applyAlignment="1" applyFont="1">
      <alignment shrinkToFit="0" vertical="center" wrapText="1"/>
    </xf>
    <xf borderId="0" fillId="0" fontId="21" numFmtId="0" xfId="0" applyAlignment="1" applyFont="1">
      <alignment horizontal="left" readingOrder="0" shrinkToFit="0" vertical="center" wrapText="1"/>
    </xf>
    <xf borderId="0" fillId="0" fontId="21" numFmtId="0" xfId="0" applyAlignment="1" applyFont="1">
      <alignment readingOrder="0" shrinkToFit="0" vertical="center" wrapText="1"/>
    </xf>
    <xf borderId="0" fillId="0" fontId="21" numFmtId="0" xfId="0" applyAlignment="1" applyFont="1">
      <alignment readingOrder="0" vertical="center"/>
    </xf>
    <xf borderId="0" fillId="0" fontId="7" numFmtId="0" xfId="0" applyAlignment="1" applyFont="1">
      <alignment readingOrder="0" shrinkToFit="0" vertical="center" wrapText="1"/>
    </xf>
    <xf borderId="0" fillId="0" fontId="22" numFmtId="0" xfId="0" applyAlignment="1" applyFont="1">
      <alignment readingOrder="0" shrinkToFit="0" vertical="center" wrapText="1"/>
    </xf>
    <xf borderId="0" fillId="0" fontId="23" numFmtId="0" xfId="0" applyAlignment="1" applyFont="1">
      <alignment horizontal="center" readingOrder="0"/>
    </xf>
    <xf borderId="0" fillId="0" fontId="24" numFmtId="0" xfId="0" applyFont="1"/>
    <xf borderId="1" fillId="2" fontId="4" numFmtId="0" xfId="0" applyBorder="1" applyFont="1"/>
    <xf borderId="1" fillId="2" fontId="17" numFmtId="0" xfId="0" applyAlignment="1" applyBorder="1" applyFont="1">
      <alignment readingOrder="0"/>
    </xf>
    <xf borderId="0" fillId="0" fontId="25" numFmtId="0" xfId="0" applyAlignment="1" applyFont="1">
      <alignment horizontal="right"/>
    </xf>
    <xf borderId="0" fillId="0" fontId="25" numFmtId="0" xfId="0" applyFont="1"/>
    <xf borderId="0" fillId="0" fontId="25" numFmtId="0" xfId="0" applyAlignment="1" applyFont="1">
      <alignment vertical="bottom"/>
    </xf>
    <xf borderId="0" fillId="0" fontId="25" numFmtId="0" xfId="0" applyAlignment="1" applyFont="1">
      <alignment horizontal="right" vertical="center"/>
    </xf>
    <xf borderId="0" fillId="0" fontId="25" numFmtId="0" xfId="0" applyAlignment="1" applyFont="1">
      <alignment vertical="center"/>
    </xf>
    <xf borderId="0" fillId="0" fontId="25" numFmtId="0" xfId="0" applyAlignment="1" applyFont="1">
      <alignment shrinkToFit="0" vertical="center" wrapText="1"/>
    </xf>
    <xf borderId="0" fillId="5" fontId="25" numFmtId="0" xfId="0" applyAlignment="1" applyFill="1" applyFont="1">
      <alignment readingOrder="0"/>
    </xf>
    <xf borderId="0" fillId="0" fontId="7" numFmtId="0" xfId="0" applyAlignment="1" applyFont="1">
      <alignment vertical="center"/>
    </xf>
    <xf borderId="0" fillId="0" fontId="25" numFmtId="0" xfId="0" applyAlignment="1" applyFont="1">
      <alignment readingOrder="0"/>
    </xf>
    <xf borderId="0" fillId="0" fontId="25" numFmtId="0" xfId="0" applyAlignment="1" applyFont="1">
      <alignment readingOrder="0" shrinkToFit="0" wrapText="1"/>
    </xf>
    <xf borderId="0" fillId="0" fontId="25" numFmtId="0" xfId="0" applyAlignment="1" applyFont="1">
      <alignment readingOrder="0" shrinkToFit="0" vertical="center" wrapText="1"/>
    </xf>
    <xf borderId="0" fillId="5" fontId="25" numFmtId="0" xfId="0" applyAlignment="1" applyFont="1">
      <alignment readingOrder="0" shrinkToFit="0" vertical="center" wrapText="1"/>
    </xf>
    <xf borderId="0" fillId="0" fontId="26" numFmtId="0" xfId="0" applyFont="1"/>
    <xf borderId="0" fillId="0" fontId="25" numFmtId="0" xfId="0" applyAlignment="1" applyFont="1">
      <alignment readingOrder="0" vertical="center"/>
    </xf>
    <xf borderId="0" fillId="0" fontId="25" numFmtId="0" xfId="0" applyAlignment="1" applyFont="1">
      <alignment readingOrder="0" vertical="bottom"/>
    </xf>
    <xf borderId="0" fillId="5" fontId="25" numFmtId="0" xfId="0" applyAlignment="1" applyFont="1">
      <alignment readingOrder="0" vertical="bottom"/>
    </xf>
    <xf borderId="0" fillId="5" fontId="25" numFmtId="0" xfId="0" applyAlignment="1" applyFont="1">
      <alignment readingOrder="0" shrinkToFit="0" wrapText="1"/>
    </xf>
    <xf borderId="0" fillId="3" fontId="25" numFmtId="0" xfId="0" applyAlignment="1" applyFont="1">
      <alignment horizontal="right"/>
    </xf>
    <xf borderId="0" fillId="3" fontId="25" numFmtId="0" xfId="0" applyAlignment="1" applyFont="1">
      <alignment vertical="bottom"/>
    </xf>
    <xf borderId="0" fillId="3" fontId="25" numFmtId="0" xfId="0" applyAlignment="1" applyFont="1">
      <alignment horizontal="right" vertical="bottom"/>
    </xf>
    <xf borderId="0" fillId="3" fontId="25" numFmtId="1" xfId="0" applyAlignment="1" applyFont="1" applyNumberFormat="1">
      <alignment horizontal="right" vertical="bottom"/>
    </xf>
    <xf borderId="0" fillId="0" fontId="25" numFmtId="0" xfId="0" applyFont="1"/>
    <xf borderId="0" fillId="3" fontId="25" numFmtId="0" xfId="0" applyFont="1"/>
    <xf borderId="0" fillId="3" fontId="25" numFmtId="0" xfId="0" applyAlignment="1" applyFont="1">
      <alignment readingOrder="0" vertical="center"/>
    </xf>
    <xf borderId="0" fillId="3" fontId="25" numFmtId="0" xfId="0" applyAlignment="1" applyFont="1">
      <alignment readingOrder="0" vertical="bottom"/>
    </xf>
    <xf borderId="0" fillId="3" fontId="25" numFmtId="0" xfId="0" applyAlignment="1" applyFont="1">
      <alignment readingOrder="0"/>
    </xf>
    <xf borderId="0" fillId="3" fontId="7" numFmtId="0" xfId="0" applyFont="1"/>
    <xf borderId="0" fillId="0" fontId="27" numFmtId="0" xfId="0" applyAlignment="1" applyFont="1">
      <alignment readingOrder="0" vertical="bottom"/>
    </xf>
    <xf borderId="0" fillId="0" fontId="7" numFmtId="164" xfId="0" applyAlignment="1" applyFont="1" applyNumberFormat="1">
      <alignment readingOrder="0"/>
    </xf>
    <xf borderId="0" fillId="5" fontId="7" numFmtId="0" xfId="0" applyAlignment="1" applyFont="1">
      <alignment readingOrder="0" vertical="center"/>
    </xf>
    <xf borderId="0" fillId="5" fontId="7" numFmtId="0" xfId="0" applyAlignment="1" applyFont="1">
      <alignment readingOrder="0"/>
    </xf>
    <xf borderId="0" fillId="0" fontId="19" numFmtId="0" xfId="0" applyAlignment="1" applyFont="1">
      <alignment horizontal="left" readingOrder="0" shrinkToFit="0" vertical="center" wrapText="1"/>
    </xf>
    <xf borderId="0" fillId="0" fontId="17" numFmtId="0" xfId="0" applyAlignment="1" applyFont="1">
      <alignment horizontal="center" readingOrder="0" shrinkToFit="0" vertical="center" wrapText="1"/>
    </xf>
    <xf borderId="0" fillId="0" fontId="7" numFmtId="0" xfId="0" applyAlignment="1" applyFont="1">
      <alignment horizontal="left" readingOrder="0" shrinkToFit="0" wrapText="1"/>
    </xf>
    <xf borderId="0" fillId="0" fontId="28" numFmtId="0" xfId="0" applyAlignment="1" applyFont="1">
      <alignment horizontal="center"/>
    </xf>
    <xf borderId="0" fillId="0" fontId="29" numFmtId="0" xfId="0" applyFont="1"/>
    <xf borderId="0" fillId="0" fontId="30" numFmtId="0" xfId="0" applyFont="1"/>
    <xf borderId="0" fillId="0" fontId="4" numFmtId="0" xfId="0" applyAlignment="1" applyFont="1">
      <alignment horizontal="center" shrinkToFit="0" vertical="center" wrapText="1"/>
    </xf>
    <xf borderId="0" fillId="0" fontId="19" numFmtId="0" xfId="0" applyAlignment="1" applyFont="1">
      <alignment horizontal="center"/>
    </xf>
    <xf borderId="0" fillId="0" fontId="19" numFmtId="0" xfId="0" applyAlignment="1" applyFont="1">
      <alignment horizontal="center" readingOrder="0" shrinkToFit="0" vertical="center" wrapText="1"/>
    </xf>
    <xf borderId="0" fillId="0" fontId="19" numFmtId="0" xfId="0" applyAlignment="1" applyFont="1">
      <alignment horizontal="center" shrinkToFit="0" vertical="center" wrapText="1"/>
    </xf>
    <xf borderId="0" fillId="0" fontId="31" numFmtId="0" xfId="0" applyAlignment="1" applyFont="1">
      <alignment readingOrder="0" shrinkToFit="0" vertical="center" wrapText="1"/>
    </xf>
    <xf borderId="0" fillId="0" fontId="30" numFmtId="0" xfId="0" applyAlignment="1" applyFont="1">
      <alignment readingOrder="0" vertical="center"/>
    </xf>
    <xf borderId="0" fillId="0" fontId="30" numFmtId="0" xfId="0" applyAlignment="1" applyFont="1">
      <alignment readingOrder="0" shrinkToFit="0" vertical="center" wrapText="1"/>
    </xf>
    <xf borderId="0" fillId="0" fontId="4" numFmtId="0" xfId="0" applyAlignment="1" applyFont="1">
      <alignment horizontal="center" shrinkToFit="0" vertical="center" wrapText="1"/>
    </xf>
    <xf borderId="0" fillId="0" fontId="21" numFmtId="0" xfId="0" applyAlignment="1" applyFont="1">
      <alignment vertical="center"/>
    </xf>
    <xf borderId="0" fillId="0" fontId="22" numFmtId="0" xfId="0" applyAlignment="1" applyFont="1">
      <alignment readingOrder="0" vertical="center"/>
    </xf>
    <xf borderId="0" fillId="0" fontId="32" numFmtId="0" xfId="0" applyAlignment="1" applyFont="1">
      <alignment readingOrder="0" vertical="center"/>
    </xf>
    <xf borderId="0" fillId="0" fontId="21" numFmtId="0" xfId="0" applyAlignment="1" applyFont="1">
      <alignment readingOrder="0" shrinkToFit="0" vertical="center" wrapText="1"/>
    </xf>
    <xf borderId="0" fillId="0" fontId="22" numFmtId="0" xfId="0" applyAlignment="1" applyFont="1">
      <alignment readingOrder="0" shrinkToFit="0" vertical="center" wrapText="1"/>
    </xf>
    <xf borderId="0" fillId="0" fontId="30" numFmtId="0" xfId="0" applyAlignment="1" applyFont="1">
      <alignment readingOrder="0" vertical="center"/>
    </xf>
    <xf borderId="0" fillId="0" fontId="20" numFmtId="0" xfId="0" applyFont="1"/>
    <xf borderId="0" fillId="0" fontId="33" numFmtId="0" xfId="0" applyAlignment="1" applyFont="1">
      <alignment horizontal="left" readingOrder="0"/>
    </xf>
    <xf borderId="0" fillId="0" fontId="33" numFmtId="0" xfId="0" applyAlignment="1" applyFont="1">
      <alignment horizontal="center" readingOrder="0"/>
    </xf>
    <xf borderId="0" fillId="0" fontId="6" numFmtId="0" xfId="0" applyAlignment="1" applyFont="1">
      <alignment vertical="bottom"/>
    </xf>
    <xf borderId="0" fillId="3" fontId="6" numFmtId="0" xfId="0" applyAlignment="1" applyFont="1">
      <alignment horizontal="center" readingOrder="0"/>
    </xf>
    <xf borderId="0" fillId="5" fontId="6" numFmtId="0" xfId="0" applyAlignment="1" applyFont="1">
      <alignment horizontal="center" readingOrder="0"/>
    </xf>
    <xf borderId="2" fillId="6" fontId="34" numFmtId="0" xfId="0" applyAlignment="1" applyBorder="1" applyFill="1" applyFont="1">
      <alignment horizontal="center" vertical="center"/>
    </xf>
    <xf borderId="2" fillId="6" fontId="35" numFmtId="0" xfId="0" applyAlignment="1" applyBorder="1" applyFont="1">
      <alignment horizontal="center" readingOrder="0" vertical="center"/>
    </xf>
    <xf borderId="0" fillId="0" fontId="7" numFmtId="0" xfId="0" applyAlignment="1" applyFont="1">
      <alignment horizontal="center" vertical="center"/>
    </xf>
    <xf borderId="2" fillId="0" fontId="6" numFmtId="0" xfId="0" applyAlignment="1" applyBorder="1" applyFont="1">
      <alignment horizontal="right" readingOrder="0" shrinkToFit="0" vertical="top" wrapText="0"/>
    </xf>
    <xf borderId="2" fillId="0" fontId="6" numFmtId="0" xfId="0" applyAlignment="1" applyBorder="1" applyFont="1">
      <alignment readingOrder="0" shrinkToFit="0" vertical="top" wrapText="0"/>
    </xf>
    <xf borderId="2" fillId="0" fontId="6" numFmtId="165" xfId="0" applyAlignment="1" applyBorder="1" applyFont="1" applyNumberFormat="1">
      <alignment horizontal="right" readingOrder="0" shrinkToFit="0" vertical="top" wrapText="0"/>
    </xf>
    <xf borderId="0" fillId="0" fontId="7" numFmtId="0" xfId="0" applyAlignment="1" applyFont="1">
      <alignment shrinkToFit="0" vertical="top" wrapText="0"/>
    </xf>
    <xf borderId="2" fillId="0" fontId="6" numFmtId="0" xfId="0" applyAlignment="1" applyBorder="1" applyFont="1">
      <alignment horizontal="right"/>
    </xf>
    <xf borderId="2" fillId="0" fontId="6" numFmtId="0" xfId="0" applyAlignment="1" applyBorder="1" applyFont="1">
      <alignment readingOrder="0"/>
    </xf>
    <xf borderId="2" fillId="0" fontId="6" numFmtId="165" xfId="0" applyAlignment="1" applyBorder="1" applyFont="1" applyNumberFormat="1">
      <alignment horizontal="right" readingOrder="0" vertical="bottom"/>
    </xf>
    <xf borderId="2" fillId="0" fontId="6" numFmtId="166" xfId="0" applyAlignment="1" applyBorder="1" applyFont="1" applyNumberFormat="1">
      <alignment horizontal="right" readingOrder="0" vertical="bottom"/>
    </xf>
    <xf borderId="2" fillId="0" fontId="6" numFmtId="0" xfId="0" applyAlignment="1" applyBorder="1" applyFont="1">
      <alignment horizontal="right" readingOrder="0"/>
    </xf>
    <xf borderId="2" fillId="0" fontId="6" numFmtId="165" xfId="0" applyAlignment="1" applyBorder="1" applyFont="1" applyNumberFormat="1">
      <alignment horizontal="right" vertical="bottom"/>
    </xf>
    <xf borderId="2" fillId="0" fontId="6" numFmtId="1" xfId="0" applyAlignment="1" applyBorder="1" applyFont="1" applyNumberFormat="1">
      <alignment horizontal="right" readingOrder="0" vertical="bottom"/>
    </xf>
    <xf borderId="2" fillId="0" fontId="36" numFmtId="165" xfId="0" applyAlignment="1" applyBorder="1" applyFont="1" applyNumberFormat="1">
      <alignment horizontal="right" readingOrder="0" vertical="bottom"/>
    </xf>
    <xf borderId="2" fillId="0" fontId="36" numFmtId="0" xfId="0" applyBorder="1" applyFont="1"/>
    <xf borderId="2" fillId="0" fontId="36" numFmtId="1" xfId="0" applyBorder="1" applyFont="1" applyNumberFormat="1"/>
    <xf borderId="0" fillId="7" fontId="7" numFmtId="0" xfId="0" applyAlignment="1" applyFill="1" applyFont="1">
      <alignment readingOrder="0"/>
    </xf>
    <xf borderId="0" fillId="8" fontId="7" numFmtId="0" xfId="0" applyAlignment="1" applyFill="1" applyFont="1">
      <alignment readingOrder="0"/>
    </xf>
    <xf borderId="0" fillId="0" fontId="37" numFmtId="0" xfId="0" applyAlignment="1" applyFont="1">
      <alignment horizontal="center" readingOrder="0" shrinkToFit="0" vertical="center" wrapText="1"/>
    </xf>
    <xf borderId="0" fillId="0" fontId="21" numFmtId="0" xfId="0" applyAlignment="1" applyFont="1">
      <alignment shrinkToFit="0" vertical="center" wrapText="1"/>
    </xf>
    <xf borderId="0" fillId="0" fontId="4" numFmtId="0" xfId="0" applyAlignment="1" applyFont="1">
      <alignment shrinkToFit="0" vertical="center" wrapText="1"/>
    </xf>
    <xf borderId="0" fillId="0" fontId="38" numFmtId="0" xfId="0" applyAlignment="1" applyFont="1">
      <alignment shrinkToFit="0" vertical="center" wrapText="1"/>
    </xf>
    <xf borderId="0" fillId="0" fontId="39" numFmtId="0" xfId="0" applyAlignment="1" applyFont="1">
      <alignment horizontal="center" shrinkToFit="0" vertical="center" wrapText="1"/>
    </xf>
    <xf borderId="0" fillId="0" fontId="39" numFmtId="0" xfId="0" applyAlignment="1" applyFont="1">
      <alignment shrinkToFit="0" vertical="center" wrapText="1"/>
    </xf>
    <xf borderId="0" fillId="0" fontId="39" numFmtId="14" xfId="0" applyAlignment="1" applyFont="1" applyNumberFormat="1">
      <alignment horizontal="center" shrinkToFit="0" vertical="center" wrapText="1"/>
    </xf>
    <xf borderId="0" fillId="0" fontId="40" numFmtId="166" xfId="0" applyAlignment="1" applyFont="1" applyNumberFormat="1">
      <alignment shrinkToFit="0" vertical="center" wrapText="1"/>
    </xf>
    <xf borderId="0" fillId="0" fontId="40" numFmtId="0" xfId="0" applyAlignment="1" applyFont="1">
      <alignment shrinkToFit="0" vertical="center" wrapText="1"/>
    </xf>
    <xf borderId="0" fillId="0" fontId="21" numFmtId="0" xfId="0" applyAlignment="1" applyFont="1">
      <alignment horizontal="center" shrinkToFit="0" vertical="center" wrapText="1"/>
    </xf>
    <xf borderId="0" fillId="0" fontId="21" numFmtId="0" xfId="0" applyAlignment="1" applyFont="1">
      <alignment shrinkToFit="0" wrapText="1"/>
    </xf>
    <xf borderId="0" fillId="0" fontId="21" numFmtId="166" xfId="0" applyAlignment="1" applyFont="1" applyNumberFormat="1">
      <alignment shrinkToFit="0" vertical="center" wrapText="1"/>
    </xf>
    <xf borderId="0" fillId="0" fontId="21" numFmtId="167" xfId="0" applyAlignment="1" applyFont="1" applyNumberFormat="1">
      <alignment shrinkToFit="0" vertical="center" wrapText="1"/>
    </xf>
    <xf borderId="0" fillId="0" fontId="21" numFmtId="164" xfId="0" applyAlignment="1" applyFont="1" applyNumberFormat="1">
      <alignment shrinkToFit="0" vertical="center" wrapText="1"/>
    </xf>
    <xf borderId="0" fillId="0" fontId="41" numFmtId="0" xfId="0" applyAlignment="1" applyFont="1">
      <alignment shrinkToFit="0" vertical="center" wrapText="1"/>
    </xf>
    <xf borderId="0" fillId="0" fontId="30" numFmtId="0" xfId="0" applyAlignment="1" applyFont="1">
      <alignment shrinkToFit="0" vertical="center" wrapText="1"/>
    </xf>
    <xf borderId="0" fillId="0" fontId="21" numFmtId="14" xfId="0" applyAlignment="1" applyFont="1" applyNumberFormat="1">
      <alignment shrinkToFit="0" vertical="center" wrapText="1"/>
    </xf>
    <xf borderId="0" fillId="0" fontId="21" numFmtId="14" xfId="0" applyAlignment="1" applyFont="1" applyNumberFormat="1">
      <alignment horizontal="center" shrinkToFit="0" vertical="center" wrapText="1"/>
    </xf>
    <xf borderId="0" fillId="0" fontId="41" numFmtId="0" xfId="0" applyAlignment="1" applyFont="1">
      <alignment shrinkToFit="0" vertical="center" wrapText="1"/>
    </xf>
    <xf borderId="0" fillId="0" fontId="41" numFmtId="14" xfId="0" applyAlignment="1" applyFont="1" applyNumberFormat="1">
      <alignment horizontal="center" shrinkToFit="0" vertical="center" wrapText="1"/>
    </xf>
    <xf borderId="0" fillId="0" fontId="42" numFmtId="0" xfId="0" applyAlignment="1" applyFont="1">
      <alignment shrinkToFit="0" vertical="center" wrapText="1"/>
    </xf>
    <xf borderId="1" fillId="9" fontId="21" numFmtId="0" xfId="0" applyAlignment="1" applyBorder="1" applyFill="1" applyFont="1">
      <alignment shrinkToFit="0" vertical="center" wrapText="1"/>
    </xf>
    <xf borderId="0" fillId="0" fontId="21" numFmtId="0" xfId="0" applyFont="1"/>
    <xf borderId="0" fillId="0" fontId="43" numFmtId="0" xfId="0" applyAlignment="1" applyFont="1">
      <alignment horizontal="left" vertical="center"/>
    </xf>
    <xf borderId="0" fillId="0" fontId="44" numFmtId="0" xfId="0" applyAlignment="1" applyFont="1">
      <alignment shrinkToFit="0" vertical="center" wrapText="1"/>
    </xf>
    <xf borderId="0" fillId="0" fontId="21" numFmtId="0" xfId="0" applyAlignment="1" applyFont="1">
      <alignment horizontal="center" shrinkToFit="0" vertical="center" wrapText="1"/>
    </xf>
    <xf borderId="3" fillId="0" fontId="20" numFmtId="0" xfId="0" applyAlignment="1" applyBorder="1" applyFont="1">
      <alignment readingOrder="0"/>
    </xf>
    <xf borderId="4" fillId="0" fontId="20" numFmtId="0" xfId="0" applyAlignment="1" applyBorder="1" applyFont="1">
      <alignment readingOrder="0"/>
    </xf>
    <xf borderId="5" fillId="0" fontId="20" numFmtId="0" xfId="0" applyAlignment="1" applyBorder="1" applyFont="1">
      <alignment readingOrder="0"/>
    </xf>
    <xf borderId="3" fillId="0" fontId="7" numFmtId="0" xfId="0" applyAlignment="1" applyBorder="1" applyFont="1">
      <alignment readingOrder="0"/>
    </xf>
    <xf borderId="4" fillId="0" fontId="7" numFmtId="0" xfId="0" applyAlignment="1" applyBorder="1" applyFont="1">
      <alignment readingOrder="0"/>
    </xf>
    <xf borderId="5" fillId="0" fontId="7" numFmtId="0" xfId="0" applyAlignment="1" applyBorder="1" applyFont="1">
      <alignment readingOrder="0"/>
    </xf>
    <xf borderId="6" fillId="0" fontId="7" numFmtId="0" xfId="0" applyAlignment="1" applyBorder="1" applyFont="1">
      <alignment readingOrder="0"/>
    </xf>
    <xf borderId="0" fillId="0" fontId="7" numFmtId="3" xfId="0" applyAlignment="1" applyFont="1" applyNumberFormat="1">
      <alignment readingOrder="0"/>
    </xf>
    <xf borderId="7" fillId="0" fontId="7" numFmtId="0" xfId="0" applyAlignment="1" applyBorder="1" applyFont="1">
      <alignment readingOrder="0"/>
    </xf>
    <xf borderId="8" fillId="0" fontId="7" numFmtId="0" xfId="0" applyAlignment="1" applyBorder="1" applyFont="1">
      <alignment readingOrder="0"/>
    </xf>
    <xf borderId="9" fillId="0" fontId="7" numFmtId="0" xfId="0" applyAlignment="1" applyBorder="1" applyFont="1">
      <alignment readingOrder="0"/>
    </xf>
    <xf borderId="10" fillId="0" fontId="7" numFmtId="0" xfId="0" applyAlignment="1" applyBorder="1" applyFont="1">
      <alignment readingOrder="0"/>
    </xf>
    <xf borderId="11" fillId="0" fontId="20" numFmtId="0" xfId="0" applyAlignment="1" applyBorder="1" applyFont="1">
      <alignment readingOrder="0"/>
    </xf>
    <xf borderId="12" fillId="0" fontId="20" numFmtId="0" xfId="0" applyBorder="1" applyFont="1"/>
    <xf borderId="13" fillId="0" fontId="7" numFmtId="0" xfId="0" applyBorder="1" applyFont="1"/>
    <xf borderId="5" fillId="0" fontId="7" numFmtId="0" xfId="0" applyBorder="1" applyFont="1"/>
    <xf borderId="7" fillId="0" fontId="7" numFmtId="0" xfId="0" applyBorder="1" applyFont="1"/>
    <xf borderId="10" fillId="0" fontId="7" numFmtId="0" xfId="0" applyBorder="1" applyFont="1"/>
    <xf borderId="0" fillId="3" fontId="20" numFmtId="0" xfId="0" applyAlignment="1" applyFont="1">
      <alignment readingOrder="0"/>
    </xf>
    <xf borderId="0" fillId="3" fontId="20" numFmtId="0" xfId="0" applyFont="1"/>
    <xf borderId="2" fillId="0" fontId="20" numFmtId="0" xfId="0" applyAlignment="1" applyBorder="1" applyFont="1">
      <alignment readingOrder="0"/>
    </xf>
    <xf borderId="2" fillId="0" fontId="7" numFmtId="0" xfId="0" applyAlignment="1" applyBorder="1" applyFont="1">
      <alignment readingOrder="0"/>
    </xf>
    <xf borderId="2" fillId="0" fontId="7" numFmtId="0" xfId="0" applyBorder="1" applyFont="1"/>
    <xf borderId="2" fillId="0" fontId="20" numFmtId="0" xfId="0" applyBorder="1" applyFont="1"/>
    <xf borderId="14" fillId="0" fontId="7" numFmtId="0" xfId="0" applyAlignment="1" applyBorder="1" applyFont="1">
      <alignment readingOrder="0"/>
    </xf>
    <xf borderId="14" fillId="0" fontId="7" numFmtId="3" xfId="0" applyAlignment="1" applyBorder="1" applyFont="1" applyNumberFormat="1">
      <alignment readingOrder="0"/>
    </xf>
    <xf borderId="11" fillId="0" fontId="7" numFmtId="0" xfId="0" applyAlignment="1" applyBorder="1" applyFont="1">
      <alignment readingOrder="0"/>
    </xf>
    <xf borderId="12" fillId="0" fontId="45" numFmtId="0" xfId="0" applyBorder="1" applyFont="1"/>
    <xf borderId="13" fillId="0" fontId="45" numFmtId="0" xfId="0" applyBorder="1" applyFont="1"/>
    <xf borderId="11" fillId="0" fontId="7" numFmtId="0" xfId="0" applyBorder="1" applyFont="1"/>
    <xf borderId="2" fillId="10" fontId="46" numFmtId="0" xfId="0" applyAlignment="1" applyBorder="1" applyFill="1" applyFont="1">
      <alignment horizontal="center" readingOrder="0"/>
    </xf>
    <xf borderId="0" fillId="3" fontId="19" numFmtId="0" xfId="0" applyAlignment="1" applyFont="1">
      <alignment readingOrder="0"/>
    </xf>
    <xf borderId="0" fillId="10" fontId="46" numFmtId="0" xfId="0" applyAlignment="1" applyFont="1">
      <alignment horizontal="center" readingOrder="0"/>
    </xf>
    <xf borderId="2" fillId="0" fontId="19" numFmtId="0" xfId="0" applyAlignment="1" applyBorder="1" applyFont="1">
      <alignment readingOrder="0"/>
    </xf>
    <xf borderId="2" fillId="11" fontId="7" numFmtId="0" xfId="0" applyAlignment="1" applyBorder="1" applyFill="1" applyFont="1">
      <alignment readingOrder="0"/>
    </xf>
    <xf borderId="2" fillId="11" fontId="7" numFmtId="0" xfId="0" applyBorder="1" applyFont="1"/>
    <xf borderId="0" fillId="10" fontId="47" numFmtId="0" xfId="0" applyAlignment="1" applyFont="1">
      <alignment horizontal="center" readingOrder="0"/>
    </xf>
    <xf borderId="4" fillId="0" fontId="19" numFmtId="0" xfId="0" applyAlignment="1" applyBorder="1" applyFont="1">
      <alignment readingOrder="0"/>
    </xf>
    <xf borderId="2" fillId="11" fontId="20" numFmtId="0" xfId="0" applyAlignment="1" applyBorder="1" applyFont="1">
      <alignment readingOrder="0"/>
    </xf>
    <xf borderId="6" fillId="0" fontId="7" numFmtId="0" xfId="0" applyBorder="1" applyFont="1"/>
    <xf borderId="0" fillId="11" fontId="7" numFmtId="0" xfId="0" applyFont="1"/>
    <xf borderId="7" fillId="11" fontId="7" numFmtId="0" xfId="0" applyBorder="1" applyFont="1"/>
    <xf borderId="6" fillId="0" fontId="20" numFmtId="0" xfId="0" applyAlignment="1" applyBorder="1" applyFont="1">
      <alignment readingOrder="0"/>
    </xf>
    <xf borderId="7" fillId="0" fontId="45" numFmtId="0" xfId="0" applyBorder="1" applyFont="1"/>
    <xf borderId="6" fillId="11" fontId="7" numFmtId="0" xfId="0" applyBorder="1" applyFont="1"/>
    <xf borderId="0" fillId="11" fontId="7" numFmtId="0" xfId="0" applyAlignment="1" applyFont="1">
      <alignment readingOrder="0"/>
    </xf>
    <xf borderId="8" fillId="12" fontId="7" numFmtId="0" xfId="0" applyBorder="1" applyFill="1" applyFont="1"/>
    <xf borderId="9" fillId="12" fontId="7" numFmtId="0" xfId="0" applyBorder="1" applyFont="1"/>
    <xf borderId="3" fillId="3" fontId="20" numFmtId="0" xfId="0" applyAlignment="1" applyBorder="1" applyFont="1">
      <alignment readingOrder="0"/>
    </xf>
    <xf borderId="4" fillId="3" fontId="20" numFmtId="0" xfId="0" applyBorder="1" applyFont="1"/>
    <xf borderId="5" fillId="3" fontId="20" numFmtId="0" xfId="0" applyBorder="1" applyFont="1"/>
    <xf borderId="12" fillId="0" fontId="7" numFmtId="0" xfId="0" applyBorder="1" applyFont="1"/>
    <xf borderId="9" fillId="10" fontId="47" numFmtId="0" xfId="0" applyAlignment="1" applyBorder="1" applyFont="1">
      <alignment horizontal="center" readingOrder="0"/>
    </xf>
    <xf borderId="10" fillId="10" fontId="47" numFmtId="0" xfId="0" applyAlignment="1" applyBorder="1" applyFont="1">
      <alignment horizontal="center" readingOrder="0"/>
    </xf>
    <xf borderId="0" fillId="0" fontId="48" numFmtId="0" xfId="0" applyAlignment="1" applyFont="1">
      <alignment readingOrder="0"/>
    </xf>
    <xf borderId="0" fillId="0" fontId="46" numFmtId="0" xfId="0" applyAlignment="1" applyFont="1">
      <alignment horizontal="center" readingOrder="0"/>
    </xf>
    <xf borderId="8" fillId="0" fontId="20" numFmtId="0" xfId="0" applyAlignment="1" applyBorder="1" applyFont="1">
      <alignment readingOrder="0"/>
    </xf>
    <xf borderId="9" fillId="10" fontId="46" numFmtId="0" xfId="0" applyAlignment="1" applyBorder="1" applyFont="1">
      <alignment horizontal="center" readingOrder="0"/>
    </xf>
    <xf borderId="9" fillId="0" fontId="20" numFmtId="0" xfId="0" applyAlignment="1" applyBorder="1" applyFont="1">
      <alignment readingOrder="0"/>
    </xf>
    <xf borderId="9" fillId="0" fontId="45" numFmtId="0" xfId="0" applyBorder="1" applyFont="1"/>
    <xf borderId="10" fillId="0" fontId="45" numFmtId="0" xfId="0" applyBorder="1" applyFont="1"/>
    <xf borderId="7" fillId="3" fontId="20" numFmtId="0" xfId="0" applyBorder="1" applyFont="1"/>
    <xf borderId="7" fillId="0" fontId="20" numFmtId="0" xfId="0" applyAlignment="1" applyBorder="1" applyFont="1">
      <alignment readingOrder="0"/>
    </xf>
    <xf borderId="10" fillId="12" fontId="7" numFmtId="0" xfId="0" applyBorder="1" applyFont="1"/>
    <xf borderId="8" fillId="0" fontId="7" numFmtId="0" xfId="0" applyBorder="1" applyFont="1"/>
    <xf borderId="9" fillId="0" fontId="7" numFmtId="0" xfId="0" applyBorder="1" applyFont="1"/>
    <xf borderId="10" fillId="10" fontId="46" numFmtId="0" xfId="0" applyAlignment="1" applyBorder="1" applyFont="1">
      <alignment horizontal="center" readingOrder="0"/>
    </xf>
    <xf borderId="9" fillId="10" fontId="47" numFmtId="0" xfId="0" applyAlignment="1" applyBorder="1" applyFont="1">
      <alignment readingOrder="0"/>
    </xf>
    <xf borderId="10" fillId="0" fontId="20" numFmtId="0" xfId="0" applyAlignment="1" applyBorder="1" applyFont="1">
      <alignment readingOrder="0"/>
    </xf>
    <xf borderId="14" fillId="6" fontId="34" numFmtId="0" xfId="0" applyAlignment="1" applyBorder="1" applyFont="1">
      <alignment horizontal="center" vertical="center"/>
    </xf>
    <xf borderId="14" fillId="6" fontId="35" numFmtId="0" xfId="0" applyAlignment="1" applyBorder="1" applyFont="1">
      <alignment horizontal="center" readingOrder="0" vertical="center"/>
    </xf>
    <xf borderId="11" fillId="6" fontId="35" numFmtId="0" xfId="0" applyAlignment="1" applyBorder="1" applyFont="1">
      <alignment horizontal="center" readingOrder="0" vertical="center"/>
    </xf>
    <xf borderId="15" fillId="0" fontId="45" numFmtId="0" xfId="0" applyBorder="1" applyFont="1"/>
    <xf borderId="11" fillId="0" fontId="6" numFmtId="0" xfId="0" applyAlignment="1" applyBorder="1" applyFont="1">
      <alignment horizontal="left" readingOrder="0"/>
    </xf>
    <xf borderId="11" fillId="0" fontId="11" numFmtId="0" xfId="0" applyAlignment="1" applyBorder="1" applyFont="1">
      <alignment horizontal="center" readingOrder="0"/>
    </xf>
    <xf borderId="2" fillId="0" fontId="11" numFmtId="0" xfId="0" applyAlignment="1" applyBorder="1" applyFont="1">
      <alignment horizontal="center" readingOrder="0"/>
    </xf>
    <xf borderId="2" fillId="6" fontId="34" numFmtId="0" xfId="0" applyAlignment="1" applyBorder="1" applyFont="1">
      <alignment vertical="bottom"/>
    </xf>
    <xf borderId="2" fillId="6" fontId="35" numFmtId="0" xfId="0" applyAlignment="1" applyBorder="1" applyFont="1">
      <alignment readingOrder="0"/>
    </xf>
    <xf borderId="2" fillId="0" fontId="6" numFmtId="0" xfId="0" applyAlignment="1" applyBorder="1" applyFont="1">
      <alignment horizontal="right" readingOrder="0" vertical="bottom"/>
    </xf>
    <xf borderId="2" fillId="0" fontId="6" numFmtId="0" xfId="0" applyBorder="1" applyFont="1"/>
    <xf borderId="2" fillId="0" fontId="6" numFmtId="165" xfId="0" applyAlignment="1" applyBorder="1" applyFont="1" applyNumberFormat="1">
      <alignment horizontal="right" readingOrder="0"/>
    </xf>
    <xf borderId="2" fillId="0" fontId="36" numFmtId="0" xfId="0" applyAlignment="1" applyBorder="1" applyFont="1">
      <alignment readingOrder="0"/>
    </xf>
    <xf borderId="2" fillId="0" fontId="36" numFmtId="165" xfId="0" applyBorder="1" applyFont="1" applyNumberFormat="1"/>
    <xf borderId="0" fillId="0" fontId="11" numFmtId="0" xfId="0" applyAlignment="1" applyFont="1">
      <alignment horizontal="center" readingOrder="0"/>
    </xf>
    <xf borderId="0" fillId="0" fontId="20" numFmtId="0" xfId="0" applyAlignment="1" applyFont="1">
      <alignment readingOrder="0" vertical="top"/>
    </xf>
    <xf borderId="2" fillId="0" fontId="6" numFmtId="20" xfId="0" applyAlignment="1" applyBorder="1" applyFont="1" applyNumberFormat="1">
      <alignment horizontal="right" readingOrder="0"/>
    </xf>
    <xf borderId="2" fillId="0" fontId="36" numFmtId="3" xfId="0" applyAlignment="1" applyBorder="1" applyFont="1" applyNumberFormat="1">
      <alignment horizontal="right" readingOrder="0" vertical="bottom"/>
    </xf>
    <xf borderId="2" fillId="0" fontId="6" numFmtId="1" xfId="0" applyAlignment="1" applyBorder="1" applyFont="1" applyNumberFormat="1">
      <alignment readingOrder="0"/>
    </xf>
    <xf borderId="0" fillId="0" fontId="49" numFmtId="0" xfId="0" applyAlignment="1" applyFont="1">
      <alignment readingOrder="0"/>
    </xf>
    <xf borderId="11" fillId="12" fontId="48" numFmtId="0" xfId="0" applyAlignment="1" applyBorder="1" applyFont="1">
      <alignment horizontal="center" readingOrder="0"/>
    </xf>
    <xf borderId="11" fillId="13" fontId="48" numFmtId="0" xfId="0" applyAlignment="1" applyBorder="1" applyFill="1" applyFont="1">
      <alignment horizontal="center" readingOrder="0"/>
    </xf>
    <xf borderId="2" fillId="6" fontId="35" numFmtId="0" xfId="0" applyAlignment="1" applyBorder="1" applyFont="1">
      <alignment readingOrder="0" vertical="bottom"/>
    </xf>
    <xf borderId="2" fillId="0" fontId="6" numFmtId="1" xfId="0" applyAlignment="1" applyBorder="1" applyFont="1" applyNumberFormat="1">
      <alignment horizontal="left" readingOrder="0" vertical="bottom"/>
    </xf>
    <xf borderId="2" fillId="3" fontId="6" numFmtId="1" xfId="0" applyAlignment="1" applyBorder="1" applyFont="1" applyNumberFormat="1">
      <alignment horizontal="left" readingOrder="0" vertical="bottom"/>
    </xf>
    <xf borderId="0" fillId="0" fontId="36" numFmtId="0" xfId="0" applyAlignment="1" applyFont="1">
      <alignment readingOrder="0"/>
    </xf>
    <xf borderId="0" fillId="0" fontId="36" numFmtId="0" xfId="0" applyFont="1"/>
    <xf borderId="14" fillId="0" fontId="6" numFmtId="0" xfId="0" applyAlignment="1" applyBorder="1" applyFont="1">
      <alignment horizontal="right"/>
    </xf>
    <xf borderId="3" fillId="0" fontId="6" numFmtId="0" xfId="0" applyAlignment="1" applyBorder="1" applyFont="1">
      <alignment horizontal="left" readingOrder="0"/>
    </xf>
    <xf borderId="14" fillId="0" fontId="6" numFmtId="165" xfId="0" applyAlignment="1" applyBorder="1" applyFont="1" applyNumberFormat="1">
      <alignment horizontal="right" readingOrder="0" vertical="bottom"/>
    </xf>
    <xf borderId="11" fillId="0" fontId="6" numFmtId="1" xfId="0" applyAlignment="1" applyBorder="1" applyFont="1" applyNumberFormat="1">
      <alignment horizontal="right" readingOrder="0" vertical="bottom"/>
    </xf>
    <xf borderId="11" fillId="0" fontId="6" numFmtId="165" xfId="0" applyAlignment="1" applyBorder="1" applyFont="1" applyNumberFormat="1">
      <alignment horizontal="right" vertical="bottom"/>
    </xf>
    <xf borderId="2" fillId="0" fontId="6" numFmtId="168" xfId="0" applyAlignment="1" applyBorder="1" applyFont="1" applyNumberFormat="1">
      <alignment horizontal="right" readingOrder="0" vertical="bottom"/>
    </xf>
    <xf borderId="2" fillId="0" fontId="36" numFmtId="1" xfId="0" applyAlignment="1" applyBorder="1" applyFont="1" applyNumberFormat="1">
      <alignment horizontal="right" readingOrder="0" vertical="bottom"/>
    </xf>
    <xf borderId="2" fillId="0" fontId="36" numFmtId="168" xfId="0" applyAlignment="1" applyBorder="1" applyFont="1" applyNumberFormat="1">
      <alignment horizontal="right" readingOrder="0" vertical="bottom"/>
    </xf>
    <xf borderId="3" fillId="0" fontId="21" numFmtId="0" xfId="0" applyAlignment="1" applyBorder="1" applyFont="1">
      <alignment readingOrder="0"/>
    </xf>
    <xf borderId="4" fillId="0" fontId="21" numFmtId="0" xfId="0" applyAlignment="1" applyBorder="1" applyFont="1">
      <alignment readingOrder="0"/>
    </xf>
    <xf borderId="0" fillId="11" fontId="7" numFmtId="3" xfId="0" applyAlignment="1" applyFont="1" applyNumberFormat="1">
      <alignment readingOrder="0"/>
    </xf>
    <xf borderId="0" fillId="11" fontId="7" numFmtId="169" xfId="0" applyAlignment="1" applyFont="1" applyNumberFormat="1">
      <alignment readingOrder="0"/>
    </xf>
    <xf borderId="7" fillId="11" fontId="7" numFmtId="0" xfId="0" applyAlignment="1" applyBorder="1" applyFont="1">
      <alignment readingOrder="0"/>
    </xf>
    <xf borderId="6" fillId="0" fontId="21" numFmtId="0" xfId="0" applyAlignment="1" applyBorder="1" applyFont="1">
      <alignment readingOrder="0"/>
    </xf>
    <xf borderId="0" fillId="0" fontId="7" numFmtId="169" xfId="0" applyAlignment="1" applyFont="1" applyNumberFormat="1">
      <alignment readingOrder="0"/>
    </xf>
    <xf borderId="0" fillId="11" fontId="7" numFmtId="3" xfId="0" applyFont="1" applyNumberFormat="1"/>
    <xf borderId="0" fillId="0" fontId="7" numFmtId="3" xfId="0" applyFont="1" applyNumberFormat="1"/>
    <xf borderId="6" fillId="11" fontId="7" numFmtId="3" xfId="0" applyAlignment="1" applyBorder="1" applyFont="1" applyNumberFormat="1">
      <alignment readingOrder="0"/>
    </xf>
    <xf borderId="0" fillId="0" fontId="7" numFmtId="0" xfId="0" applyAlignment="1" applyFont="1">
      <alignment readingOrder="0" shrinkToFit="0" wrapText="1"/>
    </xf>
    <xf borderId="6" fillId="11" fontId="7" numFmtId="3" xfId="0" applyBorder="1" applyFont="1" applyNumberFormat="1"/>
    <xf borderId="6" fillId="3" fontId="20" numFmtId="0" xfId="0" applyAlignment="1" applyBorder="1" applyFont="1">
      <alignment readingOrder="0"/>
    </xf>
    <xf borderId="5" fillId="0" fontId="21" numFmtId="0" xfId="0" applyAlignment="1" applyBorder="1" applyFont="1">
      <alignment readingOrder="0"/>
    </xf>
    <xf borderId="6" fillId="11" fontId="7" numFmtId="0" xfId="0" applyAlignment="1" applyBorder="1" applyFont="1">
      <alignment readingOrder="0"/>
    </xf>
    <xf borderId="0" fillId="0" fontId="7" numFmtId="0" xfId="0" applyAlignment="1" applyFont="1">
      <alignment horizontal="left" readingOrder="0"/>
    </xf>
    <xf borderId="0" fillId="0" fontId="7" numFmtId="0" xfId="0" applyAlignment="1" applyFont="1">
      <alignment horizontal="center" readingOrder="0"/>
    </xf>
    <xf borderId="0" fillId="0" fontId="7" numFmtId="166" xfId="0" applyAlignment="1" applyFont="1" applyNumberFormat="1">
      <alignment readingOrder="0"/>
    </xf>
    <xf borderId="2" fillId="0" fontId="7" numFmtId="3" xfId="0" applyAlignment="1" applyBorder="1" applyFont="1" applyNumberFormat="1">
      <alignment readingOrder="0"/>
    </xf>
    <xf borderId="6" fillId="0" fontId="7" numFmtId="3" xfId="0" applyAlignment="1" applyBorder="1" applyFont="1" applyNumberFormat="1">
      <alignment readingOrder="0"/>
    </xf>
    <xf borderId="0" fillId="14" fontId="7" numFmtId="0" xfId="0" applyAlignment="1" applyFill="1" applyFont="1">
      <alignment readingOrder="0"/>
    </xf>
    <xf borderId="6" fillId="0" fontId="19" numFmtId="0" xfId="0" applyAlignment="1" applyBorder="1" applyFont="1">
      <alignment readingOrder="0"/>
    </xf>
    <xf borderId="7" fillId="0" fontId="21" numFmtId="0" xfId="0" applyAlignment="1" applyBorder="1" applyFont="1">
      <alignment readingOrder="0"/>
    </xf>
    <xf borderId="2" fillId="3" fontId="20" numFmtId="0" xfId="0" applyAlignment="1" applyBorder="1" applyFont="1">
      <alignment readingOrder="0"/>
    </xf>
    <xf borderId="2" fillId="3" fontId="20" numFmtId="0" xfId="0" applyBorder="1" applyFont="1"/>
    <xf borderId="0" fillId="0" fontId="41" numFmtId="0" xfId="0" applyAlignment="1" applyFont="1">
      <alignment readingOrder="0"/>
    </xf>
    <xf borderId="0" fillId="0" fontId="50" numFmtId="0" xfId="0" applyFont="1"/>
    <xf borderId="0" fillId="15" fontId="51" numFmtId="0" xfId="0" applyFill="1" applyFont="1"/>
    <xf borderId="0" fillId="0" fontId="8" numFmtId="0" xfId="0" applyAlignment="1" applyFont="1">
      <alignment horizontal="left" readingOrder="0"/>
    </xf>
    <xf borderId="0" fillId="0" fontId="52" numFmtId="0" xfId="0" applyAlignment="1" applyFont="1">
      <alignment readingOrder="0"/>
    </xf>
    <xf borderId="2" fillId="6" fontId="35" numFmtId="0" xfId="0" applyAlignment="1" applyBorder="1" applyFont="1">
      <alignment readingOrder="0" vertical="center"/>
    </xf>
    <xf borderId="13" fillId="6" fontId="35" numFmtId="0" xfId="0" applyAlignment="1" applyBorder="1" applyFont="1">
      <alignment horizontal="center" readingOrder="0" vertical="bottom"/>
    </xf>
    <xf borderId="2" fillId="6" fontId="34" numFmtId="0" xfId="0" applyAlignment="1" applyBorder="1" applyFont="1">
      <alignment readingOrder="0"/>
    </xf>
    <xf borderId="2" fillId="6" fontId="34" numFmtId="0" xfId="0" applyBorder="1" applyFont="1"/>
    <xf borderId="2" fillId="0" fontId="6" numFmtId="1" xfId="0" applyAlignment="1" applyBorder="1" applyFont="1" applyNumberFormat="1">
      <alignment horizontal="right" vertical="bottom"/>
    </xf>
    <xf borderId="2" fillId="6" fontId="34" numFmtId="0" xfId="0" applyAlignment="1" applyBorder="1" applyFont="1">
      <alignment readingOrder="0" vertical="bottom"/>
    </xf>
    <xf borderId="2" fillId="0" fontId="6" numFmtId="165" xfId="0" applyAlignment="1" applyBorder="1" applyFont="1" applyNumberFormat="1">
      <alignment horizontal="right"/>
    </xf>
    <xf borderId="2" fillId="0" fontId="6" numFmtId="1" xfId="0" applyAlignment="1" applyBorder="1" applyFont="1" applyNumberFormat="1">
      <alignment horizontal="right"/>
    </xf>
    <xf borderId="2" fillId="0" fontId="36" numFmtId="0" xfId="0" applyAlignment="1" applyBorder="1" applyFont="1">
      <alignment horizontal="right"/>
    </xf>
    <xf borderId="2" fillId="0" fontId="36" numFmtId="0" xfId="0" applyAlignment="1" applyBorder="1" applyFont="1">
      <alignment readingOrder="0" vertical="bottom"/>
    </xf>
    <xf borderId="2" fillId="0" fontId="36" numFmtId="165" xfId="0" applyAlignment="1" applyBorder="1" applyFont="1" applyNumberFormat="1">
      <alignment horizontal="right" vertical="bottom"/>
    </xf>
    <xf borderId="2" fillId="0" fontId="36" numFmtId="1" xfId="0" applyAlignment="1" applyBorder="1" applyFont="1" applyNumberFormat="1">
      <alignment horizontal="right" vertical="bottom"/>
    </xf>
    <xf borderId="2" fillId="0" fontId="6" numFmtId="165" xfId="0" applyBorder="1" applyFont="1" applyNumberFormat="1"/>
    <xf borderId="2" fillId="0" fontId="6" numFmtId="1" xfId="0" applyBorder="1" applyFont="1" applyNumberFormat="1"/>
    <xf borderId="2" fillId="0" fontId="6" numFmtId="170" xfId="0" applyAlignment="1" applyBorder="1" applyFont="1" applyNumberFormat="1">
      <alignment horizontal="right"/>
    </xf>
    <xf borderId="2" fillId="0" fontId="36" numFmtId="170" xfId="0" applyAlignment="1" applyBorder="1" applyFont="1" applyNumberFormat="1">
      <alignment horizontal="right"/>
    </xf>
    <xf borderId="14" fillId="6" fontId="34" numFmtId="0" xfId="0" applyAlignment="1" applyBorder="1" applyFont="1">
      <alignment vertical="center"/>
    </xf>
    <xf borderId="14" fillId="6" fontId="35" numFmtId="0" xfId="0" applyAlignment="1" applyBorder="1" applyFont="1">
      <alignment readingOrder="0" vertical="center"/>
    </xf>
    <xf borderId="11" fillId="6" fontId="35" numFmtId="0" xfId="0" applyAlignment="1" applyBorder="1" applyFont="1">
      <alignment horizontal="center" readingOrder="0" vertical="bottom"/>
    </xf>
    <xf borderId="2" fillId="0" fontId="6" numFmtId="1" xfId="0" applyAlignment="1" applyBorder="1" applyFont="1" applyNumberFormat="1">
      <alignment horizontal="right" readingOrder="0"/>
    </xf>
    <xf borderId="2" fillId="0" fontId="6" numFmtId="4" xfId="0" applyAlignment="1" applyBorder="1" applyFont="1" applyNumberFormat="1">
      <alignment horizontal="right" readingOrder="0"/>
    </xf>
    <xf borderId="1" fillId="5" fontId="21" numFmtId="0" xfId="0" applyBorder="1" applyFont="1"/>
    <xf borderId="0" fillId="0" fontId="21" numFmtId="0" xfId="0" applyAlignment="1" applyFont="1">
      <alignment horizontal="left"/>
    </xf>
    <xf borderId="16" fillId="16" fontId="4" numFmtId="0" xfId="0" applyAlignment="1" applyBorder="1" applyFill="1" applyFont="1">
      <alignment horizontal="left"/>
    </xf>
    <xf borderId="16" fillId="16" fontId="4" numFmtId="0" xfId="0" applyBorder="1" applyFont="1"/>
    <xf borderId="0" fillId="0" fontId="53" numFmtId="0" xfId="0" applyFont="1"/>
    <xf borderId="0" fillId="0" fontId="54" numFmtId="0" xfId="0" applyFont="1"/>
    <xf borderId="2" fillId="16" fontId="4" numFmtId="0" xfId="0" applyBorder="1" applyFont="1"/>
    <xf borderId="14" fillId="0" fontId="21" numFmtId="0" xfId="0" applyAlignment="1" applyBorder="1" applyFont="1">
      <alignment horizontal="left" vertical="top"/>
    </xf>
    <xf borderId="2" fillId="17" fontId="21" numFmtId="0" xfId="0" applyBorder="1" applyFill="1" applyFont="1"/>
    <xf borderId="17" fillId="17" fontId="55" numFmtId="0" xfId="0" applyBorder="1" applyFont="1"/>
    <xf borderId="18" fillId="0" fontId="45" numFmtId="0" xfId="0" applyBorder="1" applyFont="1"/>
    <xf borderId="2" fillId="0" fontId="21" numFmtId="0" xfId="0" applyBorder="1" applyFont="1"/>
    <xf borderId="1" fillId="5" fontId="53" numFmtId="0" xfId="0" applyBorder="1" applyFont="1"/>
    <xf borderId="19" fillId="0" fontId="55" numFmtId="0" xfId="0" applyBorder="1" applyFont="1"/>
    <xf borderId="10" fillId="0" fontId="4" numFmtId="0" xfId="0" applyBorder="1" applyFont="1"/>
    <xf borderId="8" fillId="0" fontId="4" numFmtId="0" xfId="0" applyBorder="1" applyFont="1"/>
    <xf borderId="13" fillId="0" fontId="54" numFmtId="0" xfId="0" applyBorder="1" applyFont="1"/>
    <xf borderId="11" fillId="0" fontId="54" numFmtId="0" xfId="0" applyBorder="1" applyFont="1"/>
    <xf borderId="5" fillId="0" fontId="54" numFmtId="0" xfId="0" applyBorder="1" applyFont="1"/>
    <xf borderId="3" fillId="0" fontId="54" numFmtId="0" xfId="0" applyBorder="1" applyFont="1"/>
    <xf borderId="20" fillId="0" fontId="55" numFmtId="0" xfId="0" applyBorder="1" applyFont="1"/>
    <xf borderId="20" fillId="0" fontId="56" numFmtId="0" xfId="0" applyBorder="1" applyFont="1"/>
    <xf borderId="21" fillId="17" fontId="21" numFmtId="0" xfId="0" applyBorder="1" applyFont="1"/>
    <xf borderId="13" fillId="0" fontId="21" numFmtId="0" xfId="0" applyBorder="1" applyFont="1"/>
    <xf borderId="18" fillId="0" fontId="21" numFmtId="0" xfId="0" applyAlignment="1" applyBorder="1" applyFont="1">
      <alignment horizontal="left" vertical="top"/>
    </xf>
    <xf borderId="16" fillId="17" fontId="21" numFmtId="0" xfId="0" applyBorder="1" applyFont="1"/>
    <xf borderId="0" fillId="0" fontId="57" numFmtId="0" xfId="0" applyFont="1"/>
    <xf borderId="2" fillId="0" fontId="21" numFmtId="0" xfId="0" applyAlignment="1" applyBorder="1" applyFont="1">
      <alignment horizontal="left"/>
    </xf>
    <xf borderId="2" fillId="0" fontId="57" numFmtId="0" xfId="0" applyBorder="1" applyFont="1"/>
    <xf quotePrefix="1" borderId="2" fillId="0" fontId="21" numFmtId="0" xfId="0" applyAlignment="1" applyBorder="1" applyFont="1">
      <alignment horizontal="left"/>
    </xf>
    <xf borderId="2" fillId="0" fontId="57" numFmtId="0" xfId="0" applyAlignment="1" applyBorder="1" applyFont="1">
      <alignment shrinkToFit="0" wrapText="1"/>
    </xf>
    <xf borderId="15" fillId="0" fontId="4" numFmtId="0" xfId="0" applyBorder="1" applyFont="1"/>
    <xf borderId="2" fillId="5" fontId="54" numFmtId="0" xfId="0" applyBorder="1" applyFont="1"/>
    <xf borderId="2" fillId="0" fontId="54" numFmtId="0" xfId="0" applyBorder="1" applyFont="1"/>
    <xf borderId="0" fillId="0" fontId="22" numFmtId="0" xfId="0" applyFont="1"/>
    <xf borderId="14" fillId="0" fontId="54" numFmtId="0" xfId="0" applyBorder="1" applyFont="1"/>
    <xf borderId="22" fillId="5" fontId="54" numFmtId="0" xfId="0" applyBorder="1" applyFont="1"/>
    <xf borderId="1" fillId="7" fontId="53" numFmtId="0" xfId="0" applyBorder="1" applyFont="1"/>
    <xf quotePrefix="1" borderId="13" fillId="0" fontId="54" numFmtId="16" xfId="0" applyBorder="1" applyFont="1" applyNumberFormat="1"/>
    <xf borderId="2" fillId="5" fontId="21" numFmtId="0" xfId="0" applyBorder="1" applyFont="1"/>
    <xf borderId="10" fillId="0" fontId="58" numFmtId="0" xfId="0" applyBorder="1" applyFont="1"/>
  </cellXfs>
  <cellStyles count="1">
    <cellStyle xfId="0" name="Normal" builtinId="0"/>
  </cellStyles>
  <dxfs count="8">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
      <font>
        <color rgb="FF006100"/>
      </font>
      <fill>
        <patternFill patternType="solid">
          <fgColor rgb="FFC6EFCE"/>
          <bgColor rgb="FFC6EFCE"/>
        </patternFill>
      </fill>
      <border/>
    </dxf>
    <dxf>
      <font>
        <color rgb="FFFF0000"/>
      </font>
      <fill>
        <patternFill patternType="solid">
          <fgColor rgb="FFD8D8D8"/>
          <bgColor rgb="FFD8D8D8"/>
        </patternFill>
      </fill>
      <border/>
    </dxf>
    <dxf>
      <font>
        <color rgb="FF9C0006"/>
      </font>
      <fill>
        <patternFill patternType="solid">
          <fgColor rgb="FFD8D8D8"/>
          <bgColor rgb="FFD8D8D8"/>
        </patternFill>
      </fill>
      <border/>
    </dxf>
    <dxf>
      <font>
        <color theme="1"/>
      </font>
      <fill>
        <patternFill patternType="solid">
          <fgColor rgb="FFD0CECE"/>
          <bgColor rgb="FFD0CECE"/>
        </patternFill>
      </fill>
      <border/>
    </dxf>
  </dxfs>
  <tableStyles count="46">
    <tableStyle count="3" pivot="0" name="Dashboard-style">
      <tableStyleElement dxfId="1" type="headerRow"/>
      <tableStyleElement dxfId="2" type="firstRowStripe"/>
      <tableStyleElement dxfId="3" type="secondRowStripe"/>
    </tableStyle>
    <tableStyle count="3" pivot="0" name="form Kiểm dẻ-style">
      <tableStyleElement dxfId="1" type="headerRow"/>
      <tableStyleElement dxfId="2" type="firstRowStripe"/>
      <tableStyleElement dxfId="3" type="secondRowStripe"/>
    </tableStyle>
    <tableStyle count="3" pivot="0" name="form Kiểm dẻ-style 2">
      <tableStyleElement dxfId="1" type="headerRow"/>
      <tableStyleElement dxfId="2" type="firstRowStripe"/>
      <tableStyleElement dxfId="3" type="secondRowStripe"/>
    </tableStyle>
    <tableStyle count="3" pivot="0" name="form Đăng nhập-style">
      <tableStyleElement dxfId="1" type="headerRow"/>
      <tableStyleElement dxfId="2" type="firstRowStripe"/>
      <tableStyleElement dxfId="3" type="secondRowStripe"/>
    </tableStyle>
    <tableStyle count="3" pivot="0" name="form Loại vàng-style">
      <tableStyleElement dxfId="1" type="headerRow"/>
      <tableStyleElement dxfId="2" type="firstRowStripe"/>
      <tableStyleElement dxfId="3" type="secondRowStripe"/>
    </tableStyle>
    <tableStyle count="3" pivot="0" name="form Nhóm hàng-style">
      <tableStyleElement dxfId="1" type="headerRow"/>
      <tableStyleElement dxfId="2" type="firstRowStripe"/>
      <tableStyleElement dxfId="3" type="secondRowStripe"/>
    </tableStyle>
    <tableStyle count="3" pivot="0" name="form Kho-style">
      <tableStyleElement dxfId="1" type="headerRow"/>
      <tableStyleElement dxfId="2" type="firstRowStripe"/>
      <tableStyleElement dxfId="3" type="secondRowStripe"/>
    </tableStyle>
    <tableStyle count="3" pivot="0" name="form Nhóm đối tác-style">
      <tableStyleElement dxfId="1" type="headerRow"/>
      <tableStyleElement dxfId="2" type="firstRowStripe"/>
      <tableStyleElement dxfId="3" type="secondRowStripe"/>
    </tableStyle>
    <tableStyle count="3" pivot="0" name="form Đối tác-style">
      <tableStyleElement dxfId="1" type="headerRow"/>
      <tableStyleElement dxfId="2" type="firstRowStripe"/>
      <tableStyleElement dxfId="3" type="secondRowStripe"/>
    </tableStyle>
    <tableStyle count="3" pivot="0" name="form Phân loại hàng-style">
      <tableStyleElement dxfId="1" type="headerRow"/>
      <tableStyleElement dxfId="2" type="firstRowStripe"/>
      <tableStyleElement dxfId="3" type="secondRowStripe"/>
    </tableStyle>
    <tableStyle count="3" pivot="0" name="form Phiếu nhập kho-style">
      <tableStyleElement dxfId="1" type="headerRow"/>
      <tableStyleElement dxfId="2" type="firstRowStripe"/>
      <tableStyleElement dxfId="3" type="secondRowStripe"/>
    </tableStyle>
    <tableStyle count="3" pivot="0" name="form Phiếu xuất kho-style">
      <tableStyleElement dxfId="1" type="headerRow"/>
      <tableStyleElement dxfId="2" type="firstRowStripe"/>
      <tableStyleElement dxfId="3" type="secondRowStripe"/>
    </tableStyle>
    <tableStyle count="3" pivot="0" name="form Phiếu chuyển kho-style">
      <tableStyleElement dxfId="1" type="headerRow"/>
      <tableStyleElement dxfId="2" type="firstRowStripe"/>
      <tableStyleElement dxfId="3" type="secondRowStripe"/>
    </tableStyle>
    <tableStyle count="3" pivot="0" name="Entity-style">
      <tableStyleElement dxfId="1" type="headerRow"/>
      <tableStyleElement dxfId="2" type="firstRowStripe"/>
      <tableStyleElement dxfId="3" type="secondRowStripe"/>
    </tableStyle>
    <tableStyle count="3" pivot="0" name="form Quản lý quà tặng-style">
      <tableStyleElement dxfId="1" type="headerRow"/>
      <tableStyleElement dxfId="2" type="firstRowStripe"/>
      <tableStyleElement dxfId="3" type="secondRowStripe"/>
    </tableStyle>
    <tableStyle count="3" pivot="0" name="form Tặng quà theo HĐ-style">
      <tableStyleElement dxfId="1" type="headerRow"/>
      <tableStyleElement dxfId="2" type="firstRowStripe"/>
      <tableStyleElement dxfId="3" type="secondRowStripe"/>
    </tableStyle>
    <tableStyle count="3" pivot="0" name="form Tặng quà không theo HĐ-style">
      <tableStyleElement dxfId="1" type="headerRow"/>
      <tableStyleElement dxfId="2" type="firstRowStripe"/>
      <tableStyleElement dxfId="3" type="secondRowStripe"/>
    </tableStyle>
    <tableStyle count="3" pivot="0" name="Popup Danh sách HĐ chưa tặng qu-style">
      <tableStyleElement dxfId="1" type="headerRow"/>
      <tableStyleElement dxfId="2" type="firstRowStripe"/>
      <tableStyleElement dxfId="3" type="secondRowStripe"/>
    </tableStyle>
    <tableStyle count="3" pivot="0" name="form Bảng kê tặng quà-style">
      <tableStyleElement dxfId="1" type="headerRow"/>
      <tableStyleElement dxfId="2" type="firstRowStripe"/>
      <tableStyleElement dxfId="3" type="secondRowStripe"/>
    </tableStyle>
    <tableStyle count="3" pivot="0" name="Báo cáo thống kê Tặng quà-style">
      <tableStyleElement dxfId="1" type="headerRow"/>
      <tableStyleElement dxfId="2" type="firstRowStripe"/>
      <tableStyleElement dxfId="3" type="secondRowStripe"/>
    </tableStyle>
    <tableStyle count="3" pivot="0" name="form Phiếu mua hàng-style">
      <tableStyleElement dxfId="1" type="headerRow"/>
      <tableStyleElement dxfId="2" type="firstRowStripe"/>
      <tableStyleElement dxfId="3" type="secondRowStripe"/>
    </tableStyle>
    <tableStyle count="3" pivot="0" name="form Phiếu chi-style">
      <tableStyleElement dxfId="1" type="headerRow"/>
      <tableStyleElement dxfId="2" type="firstRowStripe"/>
      <tableStyleElement dxfId="3" type="secondRowStripe"/>
    </tableStyle>
    <tableStyle count="3" pivot="0" name="form Phiếu thu-style">
      <tableStyleElement dxfId="1" type="headerRow"/>
      <tableStyleElement dxfId="2" type="firstRowStripe"/>
      <tableStyleElement dxfId="3" type="secondRowStripe"/>
    </tableStyle>
    <tableStyle count="3" pivot="0" name="Mượn, trả chuyển trả tiền giữa -style">
      <tableStyleElement dxfId="1" type="headerRow"/>
      <tableStyleElement dxfId="2" type="firstRowStripe"/>
      <tableStyleElement dxfId="3" type="secondRowStripe"/>
    </tableStyle>
    <tableStyle count="3" pivot="0" name="Mượn, trả, chuyển vàng giữa các-style">
      <tableStyleElement dxfId="1" type="headerRow"/>
      <tableStyleElement dxfId="2" type="firstRowStripe"/>
      <tableStyleElement dxfId="3" type="secondRowStripe"/>
    </tableStyle>
    <tableStyle count="3" pivot="0" name="Phiếu chuyển tiền giữa các quầy-style">
      <tableStyleElement dxfId="1" type="headerRow"/>
      <tableStyleElement dxfId="2" type="firstRowStripe"/>
      <tableStyleElement dxfId="3" type="secondRowStripe"/>
    </tableStyle>
    <tableStyle count="3" pivot="0" name="Phiếu tạm ứng- Vũ-style">
      <tableStyleElement dxfId="1" type="headerRow"/>
      <tableStyleElement dxfId="2" type="firstRowStripe"/>
      <tableStyleElement dxfId="3" type="secondRowStripe"/>
    </tableStyle>
    <tableStyle count="3" pivot="0" name="Phiếu hoàn ứng- Vũ-style">
      <tableStyleElement dxfId="1" type="headerRow"/>
      <tableStyleElement dxfId="2" type="firstRowStripe"/>
      <tableStyleElement dxfId="3" type="secondRowStripe"/>
    </tableStyle>
    <tableStyle count="3" pivot="0" name="Phiếu nhận hàng - Vũ-style">
      <tableStyleElement dxfId="1" type="headerRow"/>
      <tableStyleElement dxfId="2" type="firstRowStripe"/>
      <tableStyleElement dxfId="3" type="secondRowStripe"/>
    </tableStyle>
    <tableStyle count="3" pivot="0" name="form Kết nối cân-style">
      <tableStyleElement dxfId="1" type="headerRow"/>
      <tableStyleElement dxfId="2" type="firstRowStripe"/>
      <tableStyleElement dxfId="3" type="secondRowStripe"/>
    </tableStyle>
    <tableStyle count="3" pivot="0" name="data-style">
      <tableStyleElement dxfId="1" type="headerRow"/>
      <tableStyleElement dxfId="2" type="firstRowStripe"/>
      <tableStyleElement dxfId="3" type="secondRowStripe"/>
    </tableStyle>
    <tableStyle count="3" pivot="0" name="data-style 2">
      <tableStyleElement dxfId="1" type="headerRow"/>
      <tableStyleElement dxfId="2" type="firstRowStripe"/>
      <tableStyleElement dxfId="3" type="secondRowStripe"/>
    </tableStyle>
    <tableStyle count="3" pivot="0" name="data-style 3">
      <tableStyleElement dxfId="1" type="headerRow"/>
      <tableStyleElement dxfId="2" type="firstRowStripe"/>
      <tableStyleElement dxfId="3" type="secondRowStripe"/>
    </tableStyle>
    <tableStyle count="3" pivot="0" name="data-style 4">
      <tableStyleElement dxfId="1" type="headerRow"/>
      <tableStyleElement dxfId="2" type="firstRowStripe"/>
      <tableStyleElement dxfId="3" type="secondRowStripe"/>
    </tableStyle>
    <tableStyle count="3" pivot="0" name="data-style 5">
      <tableStyleElement dxfId="1" type="headerRow"/>
      <tableStyleElement dxfId="2" type="firstRowStripe"/>
      <tableStyleElement dxfId="3" type="secondRowStripe"/>
    </tableStyle>
    <tableStyle count="3" pivot="0" name="data-style 6">
      <tableStyleElement dxfId="1" type="headerRow"/>
      <tableStyleElement dxfId="2" type="firstRowStripe"/>
      <tableStyleElement dxfId="3" type="secondRowStripe"/>
    </tableStyle>
    <tableStyle count="3" pivot="0" name="data-style 7">
      <tableStyleElement dxfId="1" type="headerRow"/>
      <tableStyleElement dxfId="2" type="firstRowStripe"/>
      <tableStyleElement dxfId="3" type="secondRowStripe"/>
    </tableStyle>
    <tableStyle count="3" pivot="0" name="data-style 8">
      <tableStyleElement dxfId="1" type="headerRow"/>
      <tableStyleElement dxfId="2" type="firstRowStripe"/>
      <tableStyleElement dxfId="3" type="secondRowStripe"/>
    </tableStyle>
    <tableStyle count="3" pivot="0" name="data-style 9">
      <tableStyleElement dxfId="1" type="headerRow"/>
      <tableStyleElement dxfId="2" type="firstRowStripe"/>
      <tableStyleElement dxfId="3" type="secondRowStripe"/>
    </tableStyle>
    <tableStyle count="3" pivot="0" name="data-style 10">
      <tableStyleElement dxfId="1" type="headerRow"/>
      <tableStyleElement dxfId="2" type="firstRowStripe"/>
      <tableStyleElement dxfId="3" type="secondRowStripe"/>
    </tableStyle>
    <tableStyle count="3" pivot="0" name="data-style 11">
      <tableStyleElement dxfId="1" type="headerRow"/>
      <tableStyleElement dxfId="2" type="firstRowStripe"/>
      <tableStyleElement dxfId="3" type="secondRowStripe"/>
    </tableStyle>
    <tableStyle count="3" pivot="0" name="data-style 12">
      <tableStyleElement dxfId="1" type="headerRow"/>
      <tableStyleElement dxfId="2" type="firstRowStripe"/>
      <tableStyleElement dxfId="3" type="secondRowStripe"/>
    </tableStyle>
    <tableStyle count="3" pivot="0" name="data-style 13">
      <tableStyleElement dxfId="1" type="headerRow"/>
      <tableStyleElement dxfId="2" type="firstRowStripe"/>
      <tableStyleElement dxfId="3" type="secondRowStripe"/>
    </tableStyle>
    <tableStyle count="3" pivot="0" name="data-style 14">
      <tableStyleElement dxfId="1" type="headerRow"/>
      <tableStyleElement dxfId="2" type="firstRowStripe"/>
      <tableStyleElement dxfId="3" type="secondRowStripe"/>
    </tableStyle>
    <tableStyle count="3" pivot="0" name="data-style 15">
      <tableStyleElement dxfId="1" type="headerRow"/>
      <tableStyleElement dxfId="2" type="firstRowStripe"/>
      <tableStyleElement dxfId="3" type="secondRowStripe"/>
    </tableStyle>
    <tableStyle count="3" pivot="0" name="data-style 16">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6.png"/><Relationship Id="rId4" Type="http://schemas.openxmlformats.org/officeDocument/2006/relationships/image" Target="../media/image2.png"/><Relationship Id="rId5"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838200</xdr:colOff>
      <xdr:row>7</xdr:row>
      <xdr:rowOff>257175</xdr:rowOff>
    </xdr:from>
    <xdr:ext cx="2133600" cy="1209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323850</xdr:colOff>
      <xdr:row>5</xdr:row>
      <xdr:rowOff>714375</xdr:rowOff>
    </xdr:from>
    <xdr:ext cx="2200275" cy="10953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142875</xdr:colOff>
      <xdr:row>5</xdr:row>
      <xdr:rowOff>647700</xdr:rowOff>
    </xdr:from>
    <xdr:ext cx="2200275" cy="10953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57150</xdr:colOff>
      <xdr:row>7</xdr:row>
      <xdr:rowOff>752475</xdr:rowOff>
    </xdr:from>
    <xdr:ext cx="2705100" cy="43815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190500</xdr:colOff>
      <xdr:row>7</xdr:row>
      <xdr:rowOff>371475</xdr:rowOff>
    </xdr:from>
    <xdr:ext cx="2133600" cy="120967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152400</xdr:colOff>
      <xdr:row>5</xdr:row>
      <xdr:rowOff>590550</xdr:rowOff>
    </xdr:from>
    <xdr:ext cx="3781425" cy="12096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561975</xdr:colOff>
      <xdr:row>2</xdr:row>
      <xdr:rowOff>161925</xdr:rowOff>
    </xdr:from>
    <xdr:ext cx="13115925" cy="421957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104775</xdr:colOff>
      <xdr:row>34</xdr:row>
      <xdr:rowOff>9525</xdr:rowOff>
    </xdr:from>
    <xdr:ext cx="10810875" cy="51149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4762500" cy="2743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428625</xdr:colOff>
      <xdr:row>0</xdr:row>
      <xdr:rowOff>190500</xdr:rowOff>
    </xdr:from>
    <xdr:ext cx="8772525" cy="4505325"/>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1</xdr:row>
      <xdr:rowOff>133350</xdr:rowOff>
    </xdr:from>
    <xdr:ext cx="8972550" cy="4733925"/>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428625</xdr:colOff>
      <xdr:row>0</xdr:row>
      <xdr:rowOff>190500</xdr:rowOff>
    </xdr:from>
    <xdr:ext cx="9210675" cy="467677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xdr:row>
      <xdr:rowOff>57150</xdr:rowOff>
    </xdr:from>
    <xdr:ext cx="8353425" cy="46196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1</xdr:row>
      <xdr:rowOff>114300</xdr:rowOff>
    </xdr:from>
    <xdr:ext cx="9525000" cy="559117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2:E21" displayName="Table_1" name="Table_1" id="1">
  <tableColumns count="4">
    <tableColumn name="STT" id="1"/>
    <tableColumn name="Chức năng/ Button" id="2"/>
    <tableColumn name="Nội dung" id="3"/>
    <tableColumn name="Ghi chú" id="4"/>
  </tableColumns>
  <tableStyleInfo name="Dashboard-style" showColumnStripes="0" showFirstColumn="1" showLastColumn="1" showRowStripes="1"/>
</table>
</file>

<file path=xl/tables/table2.xml><?xml version="1.0" encoding="utf-8"?>
<table xmlns="http://schemas.openxmlformats.org/spreadsheetml/2006/main" headerRowCount="0" ref="B7:F9" displayName="Table_2" name="Table_2" id="2">
  <tableColumns count="5">
    <tableColumn name="Column1" id="1"/>
    <tableColumn name="Column2" id="2"/>
    <tableColumn name="Column3" id="3"/>
    <tableColumn name="Column4" id="4"/>
    <tableColumn name="Column5" id="5"/>
  </tableColumns>
  <tableStyleInfo name="form Kiểm dẻ-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B15:E30" displayName="Table_3" name="Table_3" id="3">
  <tableColumns count="4">
    <tableColumn name="STT" id="1"/>
    <tableColumn name="Chức năng/ Button" id="2"/>
    <tableColumn name="Nội dung" id="3"/>
    <tableColumn name="Ghi chú" id="4"/>
  </tableColumns>
  <tableStyleInfo name="form Kiểm dẻ-style 2" showColumnStripes="0" showFirstColumn="1" showLastColumn="1" showRowStripes="1"/>
</table>
</file>

<file path=xl/tables/table4.xml><?xml version="1.0" encoding="utf-8"?>
<table xmlns="http://schemas.openxmlformats.org/spreadsheetml/2006/main" ref="B24:E27" displayName="Table_4" name="Table_4" id="4">
  <tableColumns count="4">
    <tableColumn name="STT" id="1"/>
    <tableColumn name="Chức năng/ Button" id="2"/>
    <tableColumn name="Nội dung" id="3"/>
    <tableColumn name="Ghi chú" id="4"/>
  </tableColumns>
  <tableStyleInfo name="form Đăng nhập-style" showColumnStripes="0" showFirstColumn="1" showLastColumn="1" showRowStripes="1"/>
</table>
</file>

<file path=xl/tables/table5.xml><?xml version="1.0" encoding="utf-8"?>
<table xmlns="http://schemas.openxmlformats.org/spreadsheetml/2006/main" ref="B28:E35" displayName="Table_5" name="Table_5" id="5">
  <tableColumns count="4">
    <tableColumn name="STT" id="1"/>
    <tableColumn name="Chức năng/ Button" id="2"/>
    <tableColumn name="Nội dung" id="3"/>
    <tableColumn name="Ghi chú" id="4"/>
  </tableColumns>
  <tableStyleInfo name="form Loại vàng-style" showColumnStripes="0" showFirstColumn="1" showLastColumn="1" showRowStripes="1"/>
</table>
</file>

<file path=xl/tables/table6.xml><?xml version="1.0" encoding="utf-8"?>
<table xmlns="http://schemas.openxmlformats.org/spreadsheetml/2006/main" ref="B34:E41" displayName="Table_6" name="Table_6" id="6">
  <tableColumns count="4">
    <tableColumn name="STT" id="1"/>
    <tableColumn name="Chức năng/ Button" id="2"/>
    <tableColumn name="Nội dung" id="3"/>
    <tableColumn name="Ghi chú" id="4"/>
  </tableColumns>
  <tableStyleInfo name="form Nhóm hàng-style" showColumnStripes="0" showFirstColumn="1" showLastColumn="1" showRowStripes="1"/>
</table>
</file>

<file path=xl/tables/table7.xml><?xml version="1.0" encoding="utf-8"?>
<table xmlns="http://schemas.openxmlformats.org/spreadsheetml/2006/main" ref="B29:E36" displayName="Table_7" name="Table_7" id="7">
  <tableColumns count="4">
    <tableColumn name="STT" id="1"/>
    <tableColumn name="Chức năng/ Button" id="2"/>
    <tableColumn name="Nội dung" id="3"/>
    <tableColumn name="Ghi chú" id="4"/>
  </tableColumns>
  <tableStyleInfo name="form Kho-style" showColumnStripes="0" showFirstColumn="1" showLastColumn="1" showRowStripes="1"/>
</table>
</file>

<file path=xl/tables/table8.xml><?xml version="1.0" encoding="utf-8"?>
<table xmlns="http://schemas.openxmlformats.org/spreadsheetml/2006/main" ref="B29:E36" displayName="Table_8" name="Table_8" id="8">
  <tableColumns count="4">
    <tableColumn name="STT" id="1"/>
    <tableColumn name="Chức năng/ Button" id="2"/>
    <tableColumn name="Nội dung" id="3"/>
    <tableColumn name="Ghi chú" id="4"/>
  </tableColumns>
  <tableStyleInfo name="form Nhóm đối tác-style" showColumnStripes="0" showFirstColumn="1" showLastColumn="1" showRowStripes="1"/>
</table>
</file>

<file path=xl/tables/table9.xml><?xml version="1.0" encoding="utf-8"?>
<table xmlns="http://schemas.openxmlformats.org/spreadsheetml/2006/main" ref="B34:E41" displayName="Table_9" name="Table_9" id="9">
  <tableColumns count="4">
    <tableColumn name="STT" id="1"/>
    <tableColumn name="Chức năng/ Button" id="2"/>
    <tableColumn name="Nội dung" id="3"/>
    <tableColumn name="Ghi chú" id="4"/>
  </tableColumns>
  <tableStyleInfo name="form Đối tác-style" showColumnStripes="0" showFirstColumn="1" showLastColumn="1" showRowStripes="1"/>
</table>
</file>

<file path=xl/tables/table10.xml><?xml version="1.0" encoding="utf-8"?>
<table xmlns="http://schemas.openxmlformats.org/spreadsheetml/2006/main" ref="B13:E26" displayName="Table_10" name="Table_10" id="10">
  <tableColumns count="4">
    <tableColumn name="STT" id="1"/>
    <tableColumn name="Chức năng/ Button" id="2"/>
    <tableColumn name="Nội dung" id="3"/>
    <tableColumn name="Ghi chú" id="4"/>
  </tableColumns>
  <tableStyleInfo name="form Phân loại hàng-style" showColumnStripes="0" showFirstColumn="1" showLastColumn="1" showRowStripes="1"/>
</table>
</file>

<file path=xl/tables/table11.xml><?xml version="1.0" encoding="utf-8"?>
<table xmlns="http://schemas.openxmlformats.org/spreadsheetml/2006/main" headerRowCount="0" ref="B12:F25" displayName="Table_11" name="Table_11" id="11">
  <tableColumns count="5">
    <tableColumn name="Column1" id="1"/>
    <tableColumn name="Column2" id="2"/>
    <tableColumn name="Column3" id="3"/>
    <tableColumn name="Column4" id="4"/>
    <tableColumn name="Column5" id="5"/>
  </tableColumns>
  <tableStyleInfo name="form Phiếu nhập kho-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B12:E27" displayName="Table_12" name="Table_12" id="12">
  <tableColumns count="4">
    <tableColumn name="STT" id="1"/>
    <tableColumn name="Chức năng/ Button" id="2"/>
    <tableColumn name="Nội dung" id="3"/>
    <tableColumn name="Ghi chú" id="4"/>
  </tableColumns>
  <tableStyleInfo name="form Phiếu xuất kho-style" showColumnStripes="0" showFirstColumn="1" showLastColumn="1" showRowStripes="1"/>
</table>
</file>

<file path=xl/tables/table13.xml><?xml version="1.0" encoding="utf-8"?>
<table xmlns="http://schemas.openxmlformats.org/spreadsheetml/2006/main" ref="B12:E27" displayName="Table_13" name="Table_13" id="13">
  <tableColumns count="4">
    <tableColumn name="STT" id="1"/>
    <tableColumn name="Chức năng/ Button" id="2"/>
    <tableColumn name="Nội dung" id="3"/>
    <tableColumn name="Ghi chú" id="4"/>
  </tableColumns>
  <tableStyleInfo name="form Phiếu chuyển kho-style" showColumnStripes="0" showFirstColumn="1" showLastColumn="1" showRowStripes="1"/>
</table>
</file>

<file path=xl/tables/table14.xml><?xml version="1.0" encoding="utf-8"?>
<table xmlns="http://schemas.openxmlformats.org/spreadsheetml/2006/main" ref="A2:L212" displayName="Table_14" name="Table_14" id="14">
  <tableColumns count="12">
    <tableColumn name="STT" id="1"/>
    <tableColumn name="Nhóm" id="2"/>
    <tableColumn name="Đối tượng" id="3"/>
    <tableColumn name="Loại xử lý" id="4"/>
    <tableColumn name="Đối tượng xử lý" id="5"/>
    <tableColumn name="Chức năng" id="6"/>
    <tableColumn name="Người thực hiện" id="7"/>
    <tableColumn name="Trạng thái DEV" id="8"/>
    <tableColumn name="Ngày hoàn thành" id="9"/>
    <tableColumn name="Trạng thái TEST" id="10"/>
    <tableColumn name="Mô tả bug" id="11"/>
    <tableColumn name="Ghi chú" id="12"/>
  </tableColumns>
  <tableStyleInfo name="Entity-style" showColumnStripes="0" showFirstColumn="1" showLastColumn="1" showRowStripes="1"/>
</table>
</file>

<file path=xl/tables/table15.xml><?xml version="1.0" encoding="utf-8"?>
<table xmlns="http://schemas.openxmlformats.org/spreadsheetml/2006/main" ref="B28:E43" displayName="Table_15" name="Table_15" id="15">
  <tableColumns count="4">
    <tableColumn name="STT" id="1"/>
    <tableColumn name="Chức năng/ Button" id="2"/>
    <tableColumn name="Nội dung" id="3"/>
    <tableColumn name="Ghi chú" id="4"/>
  </tableColumns>
  <tableStyleInfo name="form Quản lý quà tặng-style" showColumnStripes="0" showFirstColumn="1" showLastColumn="1" showRowStripes="1"/>
</table>
</file>

<file path=xl/tables/table16.xml><?xml version="1.0" encoding="utf-8"?>
<table xmlns="http://schemas.openxmlformats.org/spreadsheetml/2006/main" ref="B37:E52" displayName="Table_16" name="Table_16" id="16">
  <tableColumns count="4">
    <tableColumn name="STT" id="1"/>
    <tableColumn name="Chức năng/ Button" id="2"/>
    <tableColumn name="Nội dung" id="3"/>
    <tableColumn name="Ghi chú" id="4"/>
  </tableColumns>
  <tableStyleInfo name="form Tặng quà theo HĐ-style" showColumnStripes="0" showFirstColumn="1" showLastColumn="1" showRowStripes="1"/>
</table>
</file>

<file path=xl/tables/table17.xml><?xml version="1.0" encoding="utf-8"?>
<table xmlns="http://schemas.openxmlformats.org/spreadsheetml/2006/main" ref="B41:E56" displayName="Table_17" name="Table_17" id="17">
  <tableColumns count="4">
    <tableColumn name="STT" id="1"/>
    <tableColumn name="Chức năng/ Button" id="2"/>
    <tableColumn name="Nội dung" id="3"/>
    <tableColumn name="Ghi chú" id="4"/>
  </tableColumns>
  <tableStyleInfo name="form Tặng quà không theo HĐ-style" showColumnStripes="0" showFirstColumn="1" showLastColumn="1" showRowStripes="1"/>
</table>
</file>

<file path=xl/tables/table18.xml><?xml version="1.0" encoding="utf-8"?>
<table xmlns="http://schemas.openxmlformats.org/spreadsheetml/2006/main" ref="B26:E41" displayName="Table_18" name="Table_18" id="18">
  <tableColumns count="4">
    <tableColumn name="STT" id="1"/>
    <tableColumn name="Chức năng/ Button" id="2"/>
    <tableColumn name="Nội dung" id="3"/>
    <tableColumn name="Ghi chú" id="4"/>
  </tableColumns>
  <tableStyleInfo name="Popup Danh sách HĐ chưa tặng qu-style" showColumnStripes="0" showFirstColumn="1" showLastColumn="1" showRowStripes="1"/>
</table>
</file>

<file path=xl/tables/table19.xml><?xml version="1.0" encoding="utf-8"?>
<table xmlns="http://schemas.openxmlformats.org/spreadsheetml/2006/main" ref="B26:E41" displayName="Table_19" name="Table_19" id="19">
  <tableColumns count="4">
    <tableColumn name="STT" id="1"/>
    <tableColumn name="Chức năng/ Button" id="2"/>
    <tableColumn name="Nội dung" id="3"/>
    <tableColumn name="Ghi chú" id="4"/>
  </tableColumns>
  <tableStyleInfo name="form Bảng kê tặng quà-style" showColumnStripes="0" showFirstColumn="1" showLastColumn="1" showRowStripes="1"/>
</table>
</file>

<file path=xl/tables/table20.xml><?xml version="1.0" encoding="utf-8"?>
<table xmlns="http://schemas.openxmlformats.org/spreadsheetml/2006/main" ref="B26:E41" displayName="Table_20" name="Table_20" id="20">
  <tableColumns count="4">
    <tableColumn name="STT" id="1"/>
    <tableColumn name="Chức năng/ Button" id="2"/>
    <tableColumn name="Nội dung" id="3"/>
    <tableColumn name="Ghi chú" id="4"/>
  </tableColumns>
  <tableStyleInfo name="Báo cáo thống kê Tặng quà-style" showColumnStripes="0" showFirstColumn="1" showLastColumn="1" showRowStripes="1"/>
</table>
</file>

<file path=xl/tables/table21.xml><?xml version="1.0" encoding="utf-8"?>
<table xmlns="http://schemas.openxmlformats.org/spreadsheetml/2006/main" ref="B36:E51" displayName="Table_21" name="Table_21" id="21">
  <tableColumns count="4">
    <tableColumn name="STT" id="1"/>
    <tableColumn name="Chức năng/ Button" id="2"/>
    <tableColumn name="Nội dung" id="3"/>
    <tableColumn name="Ghi chú" id="4"/>
  </tableColumns>
  <tableStyleInfo name="form Phiếu mua hàng-style" showColumnStripes="0" showFirstColumn="1" showLastColumn="1" showRowStripes="1"/>
</table>
</file>

<file path=xl/tables/table22.xml><?xml version="1.0" encoding="utf-8"?>
<table xmlns="http://schemas.openxmlformats.org/spreadsheetml/2006/main" ref="B36:E51" displayName="Table_22" name="Table_22" id="22">
  <tableColumns count="4">
    <tableColumn name="STT" id="1"/>
    <tableColumn name="Chức năng/ Button" id="2"/>
    <tableColumn name="Nội dung" id="3"/>
    <tableColumn name="Ghi chú" id="4"/>
  </tableColumns>
  <tableStyleInfo name="form Phiếu chi-style" showColumnStripes="0" showFirstColumn="1" showLastColumn="1" showRowStripes="1"/>
</table>
</file>

<file path=xl/tables/table23.xml><?xml version="1.0" encoding="utf-8"?>
<table xmlns="http://schemas.openxmlformats.org/spreadsheetml/2006/main" ref="B34:E49" displayName="Table_23" name="Table_23" id="23">
  <tableColumns count="4">
    <tableColumn name="STT" id="1"/>
    <tableColumn name="Chức năng/ Button" id="2"/>
    <tableColumn name="Nội dung" id="3"/>
    <tableColumn name="Ghi chú" id="4"/>
  </tableColumns>
  <tableStyleInfo name="form Phiếu thu-style" showColumnStripes="0" showFirstColumn="1" showLastColumn="1" showRowStripes="1"/>
</table>
</file>

<file path=xl/tables/table24.xml><?xml version="1.0" encoding="utf-8"?>
<table xmlns="http://schemas.openxmlformats.org/spreadsheetml/2006/main" ref="B43:E58" displayName="Table_24" name="Table_24" id="24">
  <tableColumns count="4">
    <tableColumn name="STT" id="1"/>
    <tableColumn name="Chức năng/ Button" id="2"/>
    <tableColumn name="Nội dung" id="3"/>
    <tableColumn name="Ghi chú" id="4"/>
  </tableColumns>
  <tableStyleInfo name="Mượn, trả chuyển trả tiền giữa -style" showColumnStripes="0" showFirstColumn="1" showLastColumn="1" showRowStripes="1"/>
</table>
</file>

<file path=xl/tables/table25.xml><?xml version="1.0" encoding="utf-8"?>
<table xmlns="http://schemas.openxmlformats.org/spreadsheetml/2006/main" ref="B33:E48" displayName="Table_25" name="Table_25" id="25">
  <tableColumns count="4">
    <tableColumn name="STT" id="1"/>
    <tableColumn name="Chức năng/ Button" id="2"/>
    <tableColumn name="Nội dung" id="3"/>
    <tableColumn name="Ghi chú" id="4"/>
  </tableColumns>
  <tableStyleInfo name="Mượn, trả, chuyển vàng giữa các-style" showColumnStripes="0" showFirstColumn="1" showLastColumn="1" showRowStripes="1"/>
</table>
</file>

<file path=xl/tables/table26.xml><?xml version="1.0" encoding="utf-8"?>
<table xmlns="http://schemas.openxmlformats.org/spreadsheetml/2006/main" ref="B33:E48" displayName="Table_26" name="Table_26" id="26">
  <tableColumns count="4">
    <tableColumn name="STT" id="1"/>
    <tableColumn name="Chức năng/ Button" id="2"/>
    <tableColumn name="Nội dung" id="3"/>
    <tableColumn name="Ghi chú" id="4"/>
  </tableColumns>
  <tableStyleInfo name="Phiếu chuyển tiền giữa các quầy-style" showColumnStripes="0" showFirstColumn="1" showLastColumn="1" showRowStripes="1"/>
</table>
</file>

<file path=xl/tables/table27.xml><?xml version="1.0" encoding="utf-8"?>
<table xmlns="http://schemas.openxmlformats.org/spreadsheetml/2006/main" ref="B39:E54" displayName="Table_27" name="Table_27" id="27">
  <tableColumns count="4">
    <tableColumn name="STT" id="1"/>
    <tableColumn name="Chức năng/ Button" id="2"/>
    <tableColumn name="Nội dung" id="3"/>
    <tableColumn name="Ghi chú" id="4"/>
  </tableColumns>
  <tableStyleInfo name="Phiếu tạm ứng- Vũ-style" showColumnStripes="0" showFirstColumn="1" showLastColumn="1" showRowStripes="1"/>
</table>
</file>

<file path=xl/tables/table28.xml><?xml version="1.0" encoding="utf-8"?>
<table xmlns="http://schemas.openxmlformats.org/spreadsheetml/2006/main" ref="B41:E56" displayName="Table_28" name="Table_28" id="28">
  <tableColumns count="4">
    <tableColumn name="STT" id="1"/>
    <tableColumn name="Chức năng/ Button" id="2"/>
    <tableColumn name="Nội dung" id="3"/>
    <tableColumn name="Ghi chú" id="4"/>
  </tableColumns>
  <tableStyleInfo name="Phiếu hoàn ứng- Vũ-style" showColumnStripes="0" showFirstColumn="1" showLastColumn="1" showRowStripes="1"/>
</table>
</file>

<file path=xl/tables/table29.xml><?xml version="1.0" encoding="utf-8"?>
<table xmlns="http://schemas.openxmlformats.org/spreadsheetml/2006/main" ref="B39:E54" displayName="Table_29" name="Table_29" id="29">
  <tableColumns count="4">
    <tableColumn name="STT" id="1"/>
    <tableColumn name="Chức năng/ Button" id="2"/>
    <tableColumn name="Nội dung" id="3"/>
    <tableColumn name="Ghi chú" id="4"/>
  </tableColumns>
  <tableStyleInfo name="Phiếu nhận hàng - Vũ-style" showColumnStripes="0" showFirstColumn="1" showLastColumn="1" showRowStripes="1"/>
</table>
</file>

<file path=xl/tables/table30.xml><?xml version="1.0" encoding="utf-8"?>
<table xmlns="http://schemas.openxmlformats.org/spreadsheetml/2006/main" ref="B51:E61" displayName="Table_30" name="Table_30" id="30">
  <tableColumns count="4">
    <tableColumn name="STT" id="1"/>
    <tableColumn name="Chức năng/ Button" id="2"/>
    <tableColumn name="Nội dung" id="3"/>
    <tableColumn name="Ghi chú" id="4"/>
  </tableColumns>
  <tableStyleInfo name="form Kết nối cân-style" showColumnStripes="0" showFirstColumn="1" showLastColumn="1" showRowStripes="1"/>
</table>
</file>

<file path=xl/tables/table31.xml><?xml version="1.0" encoding="utf-8"?>
<table xmlns="http://schemas.openxmlformats.org/spreadsheetml/2006/main" ref="Q2:Q24" displayName="Table_31" name="Table_31" id="31">
  <tableColumns count="1">
    <tableColumn name="Nhóm vật tư" id="1"/>
  </tableColumns>
  <tableStyleInfo name="data-style" showColumnStripes="0" showFirstColumn="1" showLastColumn="1" showRowStripes="1"/>
</table>
</file>

<file path=xl/tables/table32.xml><?xml version="1.0" encoding="utf-8"?>
<table xmlns="http://schemas.openxmlformats.org/spreadsheetml/2006/main" ref="H5:I8" displayName="Table_32" name="Table_32" id="32">
  <tableColumns count="2">
    <tableColumn name="pH H2O" id="1"/>
    <tableColumn name="Đánh giá" id="2"/>
  </tableColumns>
  <tableStyleInfo name="data-style 2" showColumnStripes="0" showFirstColumn="1" showLastColumn="1" showRowStripes="1"/>
</table>
</file>

<file path=xl/tables/table33.xml><?xml version="1.0" encoding="utf-8"?>
<table xmlns="http://schemas.openxmlformats.org/spreadsheetml/2006/main" ref="H10:I15" displayName="Table_33" name="Table_33" id="33">
  <tableColumns count="2">
    <tableColumn name="Chất hữu cơ trong đất %" id="1"/>
    <tableColumn name="Đánh giá" id="2"/>
  </tableColumns>
  <tableStyleInfo name="data-style 3" showColumnStripes="0" showFirstColumn="1" showLastColumn="1" showRowStripes="1"/>
</table>
</file>

<file path=xl/tables/table34.xml><?xml version="1.0" encoding="utf-8"?>
<table xmlns="http://schemas.openxmlformats.org/spreadsheetml/2006/main" ref="H18:I23" displayName="Table_34" name="Table_34" id="34">
  <tableColumns count="2">
    <tableColumn name="N tổng số (%)" id="1"/>
    <tableColumn name="Đánh giá" id="2"/>
  </tableColumns>
  <tableStyleInfo name="data-style 4" showColumnStripes="0" showFirstColumn="1" showLastColumn="1" showRowStripes="1"/>
</table>
</file>

<file path=xl/tables/table35.xml><?xml version="1.0" encoding="utf-8"?>
<table xmlns="http://schemas.openxmlformats.org/spreadsheetml/2006/main" ref="H26:I31" displayName="Table_35" name="Table_35" id="35">
  <tableColumns count="2">
    <tableColumn name="Lân tổng số (%)" id="1"/>
    <tableColumn name="Đánh giá" id="2"/>
  </tableColumns>
  <tableStyleInfo name="data-style 5" showColumnStripes="0" showFirstColumn="1" showLastColumn="1" showRowStripes="1"/>
</table>
</file>

<file path=xl/tables/table36.xml><?xml version="1.0" encoding="utf-8"?>
<table xmlns="http://schemas.openxmlformats.org/spreadsheetml/2006/main" ref="H34:I38" displayName="Table_36" name="Table_36" id="36">
  <tableColumns count="2">
    <tableColumn name="K2O tổng số (%)" id="1"/>
    <tableColumn name="Đánh giá" id="2"/>
  </tableColumns>
  <tableStyleInfo name="data-style 6" showColumnStripes="0" showFirstColumn="1" showLastColumn="1" showRowStripes="1"/>
</table>
</file>

<file path=xl/tables/table37.xml><?xml version="1.0" encoding="utf-8"?>
<table xmlns="http://schemas.openxmlformats.org/spreadsheetml/2006/main" ref="H42:I48" displayName="Table_37" name="Table_37" id="37">
  <tableColumns count="2">
    <tableColumn name="Dung trọng " id="1"/>
    <tableColumn name="Đánh giá" id="2"/>
  </tableColumns>
  <tableStyleInfo name="data-style 7" showColumnStripes="0" showFirstColumn="1" showLastColumn="1" showRowStripes="1"/>
</table>
</file>

<file path=xl/tables/table38.xml><?xml version="1.0" encoding="utf-8"?>
<table xmlns="http://schemas.openxmlformats.org/spreadsheetml/2006/main" ref="H51:I56" displayName="Table_38" name="Table_38" id="38">
  <tableColumns count="2">
    <tableColumn name="Độ xốp (%)" id="1"/>
    <tableColumn name="Đánh giá" id="2"/>
  </tableColumns>
  <tableStyleInfo name="data-style 8" showColumnStripes="0" showFirstColumn="1" showLastColumn="1" showRowStripes="1"/>
</table>
</file>

<file path=xl/tables/table39.xml><?xml version="1.0" encoding="utf-8"?>
<table xmlns="http://schemas.openxmlformats.org/spreadsheetml/2006/main" ref="H58:L66" displayName="Table_39" name="Table_39" id="39">
  <tableColumns count="5">
    <tableColumn name="Loại đất" id="1"/>
    <tableColumn name="Cát%" id="2"/>
    <tableColumn name="Thịt %" id="3"/>
    <tableColumn name="Sét %" id="4"/>
    <tableColumn name="Độ ưu tiên" id="5"/>
  </tableColumns>
  <tableStyleInfo name="data-style 9" showColumnStripes="0" showFirstColumn="1" showLastColumn="1" showRowStripes="1"/>
</table>
</file>

<file path=xl/tables/table40.xml><?xml version="1.0" encoding="utf-8"?>
<table xmlns="http://schemas.openxmlformats.org/spreadsheetml/2006/main" ref="H68:I71" displayName="Table_40" name="Table_40" id="40">
  <tableColumns count="2">
    <tableColumn name="Sinh khối mg N/kg" id="1"/>
    <tableColumn name="Đánh giá" id="2"/>
  </tableColumns>
  <tableStyleInfo name="data-style 10" showColumnStripes="0" showFirstColumn="1" showLastColumn="1" showRowStripes="1"/>
</table>
</file>

<file path=xl/tables/table41.xml><?xml version="1.0" encoding="utf-8"?>
<table xmlns="http://schemas.openxmlformats.org/spreadsheetml/2006/main" ref="H73:I76" displayName="Table_41" name="Table_41" id="41">
  <tableColumns count="2">
    <tableColumn name="Điểm" id="1"/>
    <tableColumn name="Đánh giá" id="2"/>
  </tableColumns>
  <tableStyleInfo name="data-style 11" showColumnStripes="0" showFirstColumn="1" showLastColumn="1" showRowStripes="1"/>
</table>
</file>

<file path=xl/tables/table42.xml><?xml version="1.0" encoding="utf-8"?>
<table xmlns="http://schemas.openxmlformats.org/spreadsheetml/2006/main" ref="H78:I83" displayName="Table_42" name="Table_42" id="42">
  <tableColumns count="2">
    <tableColumn name="Trích bão hòa (mS/cm)" id="1"/>
    <tableColumn name="Đánh giá" id="2"/>
  </tableColumns>
  <tableStyleInfo name="data-style 12" showColumnStripes="0" showFirstColumn="1" showLastColumn="1" showRowStripes="1"/>
</table>
</file>

<file path=xl/tables/table43.xml><?xml version="1.0" encoding="utf-8"?>
<table xmlns="http://schemas.openxmlformats.org/spreadsheetml/2006/main" ref="H86:I90" displayName="Table_43" name="Table_43" id="43">
  <tableColumns count="2">
    <tableColumn name=" Fe2O3 tự do (%)" id="1"/>
    <tableColumn name="Đánh giá" id="2"/>
  </tableColumns>
  <tableStyleInfo name="data-style 13" showColumnStripes="0" showFirstColumn="1" showLastColumn="1" showRowStripes="1"/>
</table>
</file>

<file path=xl/tables/table44.xml><?xml version="1.0" encoding="utf-8"?>
<table xmlns="http://schemas.openxmlformats.org/spreadsheetml/2006/main" ref="H93:I97" displayName="Table_44" name="Table_44" id="44">
  <tableColumns count="2">
    <tableColumn name=" Al3+ trao đổi (meq/100g đất)" id="1"/>
    <tableColumn name="Đánh giá" id="2"/>
  </tableColumns>
  <tableStyleInfo name="data-style 14" showColumnStripes="0" showFirstColumn="1" showLastColumn="1" showRowStripes="1"/>
</table>
</file>

<file path=xl/tables/table45.xml><?xml version="1.0" encoding="utf-8"?>
<table xmlns="http://schemas.openxmlformats.org/spreadsheetml/2006/main" ref="H99:I104" displayName="Table_45" name="Table_45" id="45">
  <tableColumns count="2">
    <tableColumn name="SO42- (meq/100g đất)" id="1"/>
    <tableColumn name="Đánh giá" id="2"/>
  </tableColumns>
  <tableStyleInfo name="data-style 15" showColumnStripes="0" showFirstColumn="1" showLastColumn="1" showRowStripes="1"/>
</table>
</file>

<file path=xl/tables/table46.xml><?xml version="1.0" encoding="utf-8"?>
<table xmlns="http://schemas.openxmlformats.org/spreadsheetml/2006/main" ref="H106:I109" displayName="Table_46" name="Table_46" id="46">
  <tableColumns count="2">
    <tableColumn name="Độ dày (cm)" id="1"/>
    <tableColumn name="Đánh giá" id="2"/>
  </tableColumns>
  <tableStyleInfo name="data-style 1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jljZd94q5hPs_VCUIFFelofH5LKgkAhLZL3cJTgx-xM/edit?gid=1344197067" TargetMode="External"/><Relationship Id="rId2" Type="http://schemas.openxmlformats.org/officeDocument/2006/relationships/hyperlink" Target="https://docs.google.com/spreadsheets/d/1jljZd94q5hPs_VCUIFFelofH5LKgkAhLZL3cJTgx-xM/edit?gid=2048341757" TargetMode="External"/><Relationship Id="rId3" Type="http://schemas.openxmlformats.org/officeDocument/2006/relationships/hyperlink" Target="https://docs.google.com/spreadsheets/d/1jljZd94q5hPs_VCUIFFelofH5LKgkAhLZL3cJTgx-xM/edit?gid=519727173" TargetMode="External"/><Relationship Id="rId4" Type="http://schemas.openxmlformats.org/officeDocument/2006/relationships/hyperlink" Target="https://docs.google.com/spreadsheets/d/1jljZd94q5hPs_VCUIFFelofH5LKgkAhLZL3cJTgx-xM/edit?gid=2093211190"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jljZd94q5hPs_VCUIFFelofH5LKgkAhLZL3cJTgx-xM/edit?gid=117116988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2.xml"/><Relationship Id="rId5"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hyperlink" Target="http://transactiondetail.id/" TargetMode="External"/><Relationship Id="rId2" Type="http://schemas.openxmlformats.org/officeDocument/2006/relationships/drawing" Target="../drawings/drawing15.xml"/><Relationship Id="rId4"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1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6.xml"/><Relationship Id="rId3" Type="http://schemas.openxmlformats.org/officeDocument/2006/relationships/vmlDrawing" Target="../drawings/vmlDrawing1.vml"/><Relationship Id="rId5" Type="http://schemas.openxmlformats.org/officeDocument/2006/relationships/table" Target="../tables/table1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7.xml"/><Relationship Id="rId3" Type="http://schemas.openxmlformats.org/officeDocument/2006/relationships/vmlDrawing" Target="../drawings/vmlDrawing2.vml"/><Relationship Id="rId5" Type="http://schemas.openxmlformats.org/officeDocument/2006/relationships/table" Target="../tables/table1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8.xml"/><Relationship Id="rId3" Type="http://schemas.openxmlformats.org/officeDocument/2006/relationships/vmlDrawing" Target="../drawings/vmlDrawing3.vml"/><Relationship Id="rId5" Type="http://schemas.openxmlformats.org/officeDocument/2006/relationships/table" Target="../tables/table1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9.xml"/><Relationship Id="rId3" Type="http://schemas.openxmlformats.org/officeDocument/2006/relationships/vmlDrawing" Target="../drawings/vmlDrawing4.vml"/><Relationship Id="rId5" Type="http://schemas.openxmlformats.org/officeDocument/2006/relationships/table" Target="../tables/table19.xml"/></Relationships>
</file>

<file path=xl/worksheets/_rels/sheet3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0.xml"/><Relationship Id="rId3" Type="http://schemas.openxmlformats.org/officeDocument/2006/relationships/vmlDrawing" Target="../drawings/vmlDrawing5.vml"/><Relationship Id="rId5" Type="http://schemas.openxmlformats.org/officeDocument/2006/relationships/table" Target="../tables/table2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44.xml"/><Relationship Id="rId3" Type="http://schemas.openxmlformats.org/officeDocument/2006/relationships/vmlDrawing" Target="../drawings/vmlDrawing6.vml"/><Relationship Id="rId5" Type="http://schemas.openxmlformats.org/officeDocument/2006/relationships/table" Target="../tables/table21.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45.xml"/><Relationship Id="rId3" Type="http://schemas.openxmlformats.org/officeDocument/2006/relationships/vmlDrawing" Target="../drawings/vmlDrawing7.vml"/><Relationship Id="rId5" Type="http://schemas.openxmlformats.org/officeDocument/2006/relationships/table" Target="../tables/table22.xml"/></Relationships>
</file>

<file path=xl/worksheets/_rels/sheet46.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46.xml"/><Relationship Id="rId3" Type="http://schemas.openxmlformats.org/officeDocument/2006/relationships/vmlDrawing" Target="../drawings/vmlDrawing8.vml"/><Relationship Id="rId5" Type="http://schemas.openxmlformats.org/officeDocument/2006/relationships/table" Target="../tables/table23.xml"/></Relationships>
</file>

<file path=xl/worksheets/_rels/sheet47.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47.xml"/><Relationship Id="rId3" Type="http://schemas.openxmlformats.org/officeDocument/2006/relationships/vmlDrawing" Target="../drawings/vmlDrawing9.vml"/><Relationship Id="rId5" Type="http://schemas.openxmlformats.org/officeDocument/2006/relationships/table" Target="../tables/table24.xml"/></Relationships>
</file>

<file path=xl/worksheets/_rels/sheet48.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48.xml"/><Relationship Id="rId3" Type="http://schemas.openxmlformats.org/officeDocument/2006/relationships/vmlDrawing" Target="../drawings/vmlDrawing10.vml"/><Relationship Id="rId5" Type="http://schemas.openxmlformats.org/officeDocument/2006/relationships/table" Target="../tables/table25.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49.xml"/><Relationship Id="rId3" Type="http://schemas.openxmlformats.org/officeDocument/2006/relationships/vmlDrawing" Target="../drawings/vmlDrawing11.vml"/><Relationship Id="rId5" Type="http://schemas.openxmlformats.org/officeDocument/2006/relationships/table" Target="../tables/table26.xml"/></Relationships>
</file>

<file path=xl/worksheets/_rels/sheet50.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50.xml"/><Relationship Id="rId3" Type="http://schemas.openxmlformats.org/officeDocument/2006/relationships/vmlDrawing" Target="../drawings/vmlDrawing12.vml"/><Relationship Id="rId5" Type="http://schemas.openxmlformats.org/officeDocument/2006/relationships/table" Target="../tables/table27.xml"/></Relationships>
</file>

<file path=xl/worksheets/_rels/sheet51.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51.xml"/><Relationship Id="rId3" Type="http://schemas.openxmlformats.org/officeDocument/2006/relationships/vmlDrawing" Target="../drawings/vmlDrawing13.vml"/><Relationship Id="rId5" Type="http://schemas.openxmlformats.org/officeDocument/2006/relationships/table" Target="../tables/table28.xml"/></Relationships>
</file>

<file path=xl/worksheets/_rels/sheet52.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52.xml"/><Relationship Id="rId3" Type="http://schemas.openxmlformats.org/officeDocument/2006/relationships/vmlDrawing" Target="../drawings/vmlDrawing14.vml"/><Relationship Id="rId5" Type="http://schemas.openxmlformats.org/officeDocument/2006/relationships/table" Target="../tables/table29.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3" Type="http://schemas.openxmlformats.org/officeDocument/2006/relationships/table" Target="../tables/table30.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20" Type="http://schemas.openxmlformats.org/officeDocument/2006/relationships/table" Target="../tables/table33.xml"/><Relationship Id="rId31" Type="http://schemas.openxmlformats.org/officeDocument/2006/relationships/table" Target="../tables/table44.xml"/><Relationship Id="rId30" Type="http://schemas.openxmlformats.org/officeDocument/2006/relationships/table" Target="../tables/table43.xml"/><Relationship Id="rId22" Type="http://schemas.openxmlformats.org/officeDocument/2006/relationships/table" Target="../tables/table35.xml"/><Relationship Id="rId33" Type="http://schemas.openxmlformats.org/officeDocument/2006/relationships/table" Target="../tables/table46.xml"/><Relationship Id="rId21" Type="http://schemas.openxmlformats.org/officeDocument/2006/relationships/table" Target="../tables/table34.xml"/><Relationship Id="rId32" Type="http://schemas.openxmlformats.org/officeDocument/2006/relationships/table" Target="../tables/table45.xml"/><Relationship Id="rId24" Type="http://schemas.openxmlformats.org/officeDocument/2006/relationships/table" Target="../tables/table37.xml"/><Relationship Id="rId23" Type="http://schemas.openxmlformats.org/officeDocument/2006/relationships/table" Target="../tables/table36.xml"/><Relationship Id="rId1" Type="http://schemas.openxmlformats.org/officeDocument/2006/relationships/drawing" Target="../drawings/drawing60.xml"/><Relationship Id="rId26" Type="http://schemas.openxmlformats.org/officeDocument/2006/relationships/table" Target="../tables/table39.xml"/><Relationship Id="rId25" Type="http://schemas.openxmlformats.org/officeDocument/2006/relationships/table" Target="../tables/table38.xml"/><Relationship Id="rId28" Type="http://schemas.openxmlformats.org/officeDocument/2006/relationships/table" Target="../tables/table41.xml"/><Relationship Id="rId27" Type="http://schemas.openxmlformats.org/officeDocument/2006/relationships/table" Target="../tables/table40.xml"/><Relationship Id="rId19" Type="http://schemas.openxmlformats.org/officeDocument/2006/relationships/table" Target="../tables/table32.xml"/><Relationship Id="rId18" Type="http://schemas.openxmlformats.org/officeDocument/2006/relationships/table" Target="../tables/table31.xml"/><Relationship Id="rId29" Type="http://schemas.openxmlformats.org/officeDocument/2006/relationships/table" Target="../tables/table4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43.14"/>
    <col customWidth="1" min="3" max="3" width="31.29"/>
    <col customWidth="1" min="4" max="4" width="11.71"/>
    <col customWidth="1" min="5" max="5" width="22.0"/>
    <col customWidth="1" min="6" max="6" width="10.71"/>
    <col customWidth="1" min="7" max="7" width="57.14"/>
    <col customWidth="1" min="8" max="17" width="8.71"/>
  </cols>
  <sheetData>
    <row r="1">
      <c r="A1" s="1" t="s">
        <v>0</v>
      </c>
      <c r="B1" s="2"/>
      <c r="C1" s="2"/>
      <c r="G1" s="2"/>
    </row>
    <row r="2" ht="14.25" customHeight="1">
      <c r="A2" s="3" t="s">
        <v>1</v>
      </c>
      <c r="B2" s="4" t="s">
        <v>2</v>
      </c>
      <c r="C2" s="4" t="s">
        <v>3</v>
      </c>
      <c r="D2" s="3" t="s">
        <v>4</v>
      </c>
      <c r="E2" s="5" t="s">
        <v>5</v>
      </c>
      <c r="F2" s="5" t="s">
        <v>6</v>
      </c>
      <c r="G2" s="3" t="s">
        <v>7</v>
      </c>
      <c r="H2" s="6"/>
      <c r="I2" s="6"/>
      <c r="J2" s="6"/>
      <c r="K2" s="6"/>
      <c r="L2" s="6"/>
      <c r="M2" s="6"/>
      <c r="N2" s="6"/>
      <c r="O2" s="6"/>
      <c r="P2" s="6"/>
      <c r="Q2" s="6"/>
    </row>
    <row r="3" ht="14.25" customHeight="1">
      <c r="A3" s="7">
        <f t="array" ref="A3:A52">SEQUENCE(50,1)</f>
        <v>1</v>
      </c>
      <c r="B3" s="8" t="s">
        <v>8</v>
      </c>
      <c r="C3" s="9"/>
      <c r="E3" s="10" t="s">
        <v>9</v>
      </c>
      <c r="G3" s="11" t="s">
        <v>10</v>
      </c>
    </row>
    <row r="4" ht="14.25" customHeight="1">
      <c r="A4" s="7">
        <v>2.0</v>
      </c>
      <c r="B4" s="12" t="s">
        <v>11</v>
      </c>
      <c r="C4" s="9"/>
      <c r="E4" s="10" t="s">
        <v>9</v>
      </c>
      <c r="G4" s="11" t="s">
        <v>10</v>
      </c>
    </row>
    <row r="5" ht="14.25" customHeight="1">
      <c r="A5" s="7">
        <v>3.0</v>
      </c>
      <c r="B5" s="12" t="s">
        <v>12</v>
      </c>
      <c r="C5" s="9"/>
      <c r="D5" s="11" t="s">
        <v>13</v>
      </c>
      <c r="E5" s="10" t="s">
        <v>9</v>
      </c>
      <c r="G5" s="11" t="s">
        <v>14</v>
      </c>
    </row>
    <row r="6" ht="14.25" customHeight="1">
      <c r="A6" s="7">
        <v>4.0</v>
      </c>
      <c r="B6" s="12" t="s">
        <v>15</v>
      </c>
      <c r="C6" s="9"/>
      <c r="E6" s="10" t="s">
        <v>9</v>
      </c>
      <c r="G6" s="11" t="s">
        <v>10</v>
      </c>
    </row>
    <row r="7" ht="14.25" customHeight="1">
      <c r="A7" s="7">
        <v>5.0</v>
      </c>
      <c r="B7" s="13" t="s">
        <v>16</v>
      </c>
      <c r="C7" s="9"/>
      <c r="E7" s="10" t="s">
        <v>9</v>
      </c>
      <c r="G7" s="11" t="s">
        <v>10</v>
      </c>
    </row>
    <row r="8" ht="14.25" customHeight="1">
      <c r="A8" s="7">
        <v>6.0</v>
      </c>
      <c r="B8" s="12" t="s">
        <v>17</v>
      </c>
      <c r="C8" s="9"/>
      <c r="E8" s="10" t="s">
        <v>9</v>
      </c>
      <c r="G8" s="11" t="s">
        <v>10</v>
      </c>
    </row>
    <row r="9" ht="14.25" customHeight="1">
      <c r="A9" s="7">
        <v>7.0</v>
      </c>
      <c r="B9" s="12" t="s">
        <v>18</v>
      </c>
      <c r="C9" s="9"/>
      <c r="D9" s="11" t="s">
        <v>13</v>
      </c>
      <c r="E9" s="10" t="s">
        <v>9</v>
      </c>
      <c r="G9" s="11" t="s">
        <v>10</v>
      </c>
    </row>
    <row r="10" ht="14.25" customHeight="1">
      <c r="A10" s="7">
        <v>8.0</v>
      </c>
      <c r="B10" s="14" t="s">
        <v>19</v>
      </c>
      <c r="C10" s="9"/>
      <c r="E10" s="10" t="s">
        <v>9</v>
      </c>
      <c r="G10" s="11" t="s">
        <v>10</v>
      </c>
    </row>
    <row r="11" ht="14.25" customHeight="1">
      <c r="A11" s="7">
        <v>9.0</v>
      </c>
      <c r="B11" s="12" t="s">
        <v>20</v>
      </c>
      <c r="C11" s="9"/>
      <c r="E11" s="10" t="s">
        <v>9</v>
      </c>
      <c r="G11" s="11" t="s">
        <v>10</v>
      </c>
    </row>
    <row r="12" ht="14.25" customHeight="1">
      <c r="A12" s="7">
        <v>10.0</v>
      </c>
      <c r="B12" s="12" t="s">
        <v>21</v>
      </c>
      <c r="C12" s="9"/>
      <c r="E12" s="10" t="s">
        <v>9</v>
      </c>
      <c r="G12" s="11" t="s">
        <v>10</v>
      </c>
    </row>
    <row r="13" ht="14.25" customHeight="1">
      <c r="A13" s="7">
        <v>11.0</v>
      </c>
      <c r="B13" s="12" t="s">
        <v>22</v>
      </c>
      <c r="C13" s="9"/>
      <c r="E13" s="10" t="s">
        <v>9</v>
      </c>
      <c r="G13" s="11" t="s">
        <v>10</v>
      </c>
    </row>
    <row r="14" ht="14.25" customHeight="1">
      <c r="A14" s="7">
        <v>12.0</v>
      </c>
      <c r="B14" s="12" t="s">
        <v>23</v>
      </c>
      <c r="E14" s="10" t="s">
        <v>9</v>
      </c>
      <c r="G14" s="11" t="s">
        <v>10</v>
      </c>
    </row>
    <row r="15" ht="14.25" customHeight="1">
      <c r="A15" s="7">
        <v>13.0</v>
      </c>
      <c r="B15" s="12" t="s">
        <v>24</v>
      </c>
      <c r="D15" s="11" t="s">
        <v>25</v>
      </c>
      <c r="E15" s="10" t="s">
        <v>9</v>
      </c>
      <c r="G15" s="11" t="s">
        <v>10</v>
      </c>
    </row>
    <row r="16" ht="14.25" customHeight="1">
      <c r="A16" s="7">
        <v>14.0</v>
      </c>
      <c r="B16" s="15" t="s">
        <v>26</v>
      </c>
      <c r="C16" s="9"/>
      <c r="D16" s="11"/>
      <c r="E16" s="10" t="s">
        <v>9</v>
      </c>
      <c r="G16" s="11" t="s">
        <v>10</v>
      </c>
    </row>
    <row r="17" ht="14.25" customHeight="1">
      <c r="A17" s="7">
        <v>15.0</v>
      </c>
      <c r="B17" s="12" t="s">
        <v>27</v>
      </c>
      <c r="C17" s="11" t="s">
        <v>28</v>
      </c>
      <c r="D17" s="11" t="s">
        <v>13</v>
      </c>
      <c r="E17" s="10" t="s">
        <v>9</v>
      </c>
      <c r="G17" s="11" t="s">
        <v>14</v>
      </c>
    </row>
    <row r="18" ht="14.25" customHeight="1">
      <c r="A18" s="7">
        <v>16.0</v>
      </c>
      <c r="B18" s="12" t="s">
        <v>29</v>
      </c>
      <c r="C18" s="11" t="s">
        <v>28</v>
      </c>
      <c r="D18" s="11" t="s">
        <v>13</v>
      </c>
      <c r="E18" s="10" t="s">
        <v>9</v>
      </c>
      <c r="G18" s="11" t="s">
        <v>14</v>
      </c>
    </row>
    <row r="19" ht="14.25" customHeight="1">
      <c r="A19" s="7">
        <v>17.0</v>
      </c>
      <c r="B19" s="12" t="s">
        <v>30</v>
      </c>
      <c r="D19" s="11" t="s">
        <v>13</v>
      </c>
      <c r="E19" s="10" t="s">
        <v>9</v>
      </c>
      <c r="G19" s="11" t="s">
        <v>14</v>
      </c>
    </row>
    <row r="20" ht="14.25" customHeight="1">
      <c r="A20" s="7">
        <v>18.0</v>
      </c>
      <c r="B20" s="12" t="s">
        <v>31</v>
      </c>
      <c r="D20" s="11" t="s">
        <v>13</v>
      </c>
      <c r="E20" s="10" t="s">
        <v>9</v>
      </c>
      <c r="G20" s="11" t="s">
        <v>14</v>
      </c>
    </row>
    <row r="21" ht="14.25" customHeight="1">
      <c r="A21" s="16">
        <v>19.0</v>
      </c>
      <c r="B21" s="15" t="s">
        <v>32</v>
      </c>
      <c r="C21" s="9"/>
      <c r="D21" s="11" t="s">
        <v>13</v>
      </c>
      <c r="E21" s="10" t="s">
        <v>9</v>
      </c>
      <c r="G21" s="11" t="s">
        <v>14</v>
      </c>
    </row>
    <row r="22" ht="14.25" customHeight="1">
      <c r="A22" s="16">
        <v>20.0</v>
      </c>
      <c r="B22" s="15" t="s">
        <v>33</v>
      </c>
      <c r="C22" s="9"/>
      <c r="D22" s="11" t="s">
        <v>13</v>
      </c>
      <c r="E22" s="10" t="s">
        <v>9</v>
      </c>
      <c r="G22" s="11" t="s">
        <v>14</v>
      </c>
    </row>
    <row r="23" ht="14.25" customHeight="1">
      <c r="A23" s="16">
        <v>21.0</v>
      </c>
      <c r="B23" s="15" t="s">
        <v>34</v>
      </c>
      <c r="C23" s="17" t="s">
        <v>35</v>
      </c>
      <c r="D23" s="11" t="s">
        <v>36</v>
      </c>
      <c r="E23" s="10" t="s">
        <v>37</v>
      </c>
      <c r="G23" s="18" t="s">
        <v>38</v>
      </c>
      <c r="H23" s="19"/>
    </row>
    <row r="24" ht="14.25" customHeight="1">
      <c r="A24" s="16">
        <v>22.0</v>
      </c>
      <c r="B24" s="15" t="s">
        <v>39</v>
      </c>
      <c r="C24" s="17" t="s">
        <v>40</v>
      </c>
      <c r="D24" s="11" t="s">
        <v>36</v>
      </c>
      <c r="E24" s="10" t="s">
        <v>37</v>
      </c>
      <c r="F24" s="20"/>
      <c r="G24" s="18" t="s">
        <v>41</v>
      </c>
    </row>
    <row r="25" ht="14.25" customHeight="1">
      <c r="A25" s="16">
        <v>23.0</v>
      </c>
      <c r="B25" s="11" t="s">
        <v>42</v>
      </c>
      <c r="C25" s="21" t="s">
        <v>43</v>
      </c>
      <c r="D25" s="11" t="s">
        <v>36</v>
      </c>
      <c r="E25" s="10" t="s">
        <v>37</v>
      </c>
      <c r="G25" s="18" t="s">
        <v>44</v>
      </c>
    </row>
    <row r="26" ht="14.25" customHeight="1">
      <c r="A26" s="16">
        <v>24.0</v>
      </c>
      <c r="B26" s="12" t="s">
        <v>45</v>
      </c>
      <c r="C26" s="11" t="s">
        <v>45</v>
      </c>
      <c r="D26" s="11" t="s">
        <v>46</v>
      </c>
      <c r="E26" s="10" t="s">
        <v>9</v>
      </c>
      <c r="G26" s="11" t="s">
        <v>47</v>
      </c>
    </row>
    <row r="27" ht="14.25" customHeight="1">
      <c r="A27" s="16">
        <v>25.0</v>
      </c>
      <c r="B27" s="15" t="s">
        <v>48</v>
      </c>
      <c r="C27" s="21" t="s">
        <v>49</v>
      </c>
      <c r="D27" s="11" t="s">
        <v>46</v>
      </c>
      <c r="E27" s="10" t="s">
        <v>9</v>
      </c>
      <c r="G27" s="11" t="s">
        <v>50</v>
      </c>
    </row>
    <row r="28" ht="14.25" customHeight="1">
      <c r="A28" s="16">
        <v>26.0</v>
      </c>
      <c r="B28" s="15" t="s">
        <v>51</v>
      </c>
      <c r="C28" s="11"/>
      <c r="D28" s="11" t="s">
        <v>46</v>
      </c>
      <c r="E28" s="10" t="s">
        <v>9</v>
      </c>
      <c r="G28" s="11"/>
    </row>
    <row r="29" ht="14.25" customHeight="1">
      <c r="A29" s="16">
        <v>27.0</v>
      </c>
      <c r="B29" s="12" t="s">
        <v>52</v>
      </c>
      <c r="C29" s="11" t="s">
        <v>52</v>
      </c>
      <c r="D29" s="11" t="s">
        <v>46</v>
      </c>
      <c r="E29" s="10" t="s">
        <v>9</v>
      </c>
      <c r="G29" s="11" t="s">
        <v>50</v>
      </c>
    </row>
    <row r="30" ht="14.25" customHeight="1">
      <c r="A30" s="16">
        <v>28.0</v>
      </c>
      <c r="B30" s="15" t="s">
        <v>53</v>
      </c>
      <c r="C30" s="11" t="s">
        <v>54</v>
      </c>
      <c r="D30" s="11" t="s">
        <v>46</v>
      </c>
      <c r="E30" s="10" t="s">
        <v>9</v>
      </c>
      <c r="G30" s="11" t="s">
        <v>50</v>
      </c>
    </row>
    <row r="31" ht="14.25" customHeight="1">
      <c r="A31" s="16">
        <v>29.0</v>
      </c>
      <c r="B31" s="15" t="s">
        <v>55</v>
      </c>
      <c r="C31" s="22" t="s">
        <v>56</v>
      </c>
      <c r="D31" s="11" t="s">
        <v>25</v>
      </c>
      <c r="E31" s="10" t="s">
        <v>9</v>
      </c>
      <c r="F31" s="23">
        <v>2.0</v>
      </c>
      <c r="G31" s="11" t="s">
        <v>57</v>
      </c>
    </row>
    <row r="32" ht="14.25" customHeight="1">
      <c r="A32" s="16">
        <v>30.0</v>
      </c>
      <c r="B32" s="15" t="s">
        <v>58</v>
      </c>
      <c r="C32" s="22" t="s">
        <v>56</v>
      </c>
      <c r="D32" s="11" t="s">
        <v>25</v>
      </c>
      <c r="E32" s="10" t="s">
        <v>9</v>
      </c>
      <c r="F32" s="23">
        <v>2.0</v>
      </c>
      <c r="G32" s="11" t="s">
        <v>57</v>
      </c>
    </row>
    <row r="33" ht="14.25" customHeight="1">
      <c r="A33" s="16">
        <v>31.0</v>
      </c>
      <c r="B33" s="15" t="s">
        <v>59</v>
      </c>
      <c r="C33" s="24" t="s">
        <v>60</v>
      </c>
      <c r="D33" s="11" t="s">
        <v>46</v>
      </c>
      <c r="E33" s="10" t="s">
        <v>9</v>
      </c>
      <c r="F33" s="23">
        <v>3.0</v>
      </c>
      <c r="G33" s="11" t="s">
        <v>57</v>
      </c>
    </row>
    <row r="34">
      <c r="A34" s="16">
        <v>32.0</v>
      </c>
      <c r="B34" s="15" t="s">
        <v>61</v>
      </c>
      <c r="C34" s="21" t="s">
        <v>62</v>
      </c>
      <c r="D34" s="11" t="s">
        <v>46</v>
      </c>
      <c r="E34" s="10" t="s">
        <v>9</v>
      </c>
      <c r="F34" s="19">
        <v>8.0</v>
      </c>
      <c r="G34" s="11" t="s">
        <v>57</v>
      </c>
    </row>
    <row r="35" ht="14.25" customHeight="1">
      <c r="A35" s="16">
        <v>33.0</v>
      </c>
      <c r="B35" s="15" t="s">
        <v>63</v>
      </c>
      <c r="C35" s="21" t="s">
        <v>64</v>
      </c>
      <c r="D35" s="11" t="s">
        <v>46</v>
      </c>
      <c r="E35" s="10" t="s">
        <v>9</v>
      </c>
      <c r="F35" s="19">
        <v>7.0</v>
      </c>
      <c r="G35" s="11" t="s">
        <v>57</v>
      </c>
    </row>
    <row r="36" ht="14.25" customHeight="1">
      <c r="A36" s="16">
        <v>34.0</v>
      </c>
      <c r="B36" s="15" t="s">
        <v>65</v>
      </c>
      <c r="C36" s="22" t="s">
        <v>66</v>
      </c>
      <c r="D36" s="11" t="s">
        <v>46</v>
      </c>
      <c r="E36" s="10" t="s">
        <v>9</v>
      </c>
      <c r="F36" s="19">
        <v>6.0</v>
      </c>
      <c r="G36" s="11" t="s">
        <v>57</v>
      </c>
    </row>
    <row r="37" ht="14.25" customHeight="1">
      <c r="A37" s="16">
        <v>35.0</v>
      </c>
      <c r="B37" s="15" t="s">
        <v>67</v>
      </c>
      <c r="C37" s="21" t="s">
        <v>68</v>
      </c>
      <c r="D37" s="11" t="s">
        <v>36</v>
      </c>
      <c r="E37" s="10" t="s">
        <v>9</v>
      </c>
      <c r="F37" s="19">
        <v>4.0</v>
      </c>
      <c r="G37" s="11" t="s">
        <v>57</v>
      </c>
    </row>
    <row r="38" ht="14.25" customHeight="1">
      <c r="A38" s="16">
        <v>36.0</v>
      </c>
      <c r="B38" s="15" t="s">
        <v>69</v>
      </c>
      <c r="C38" s="21" t="s">
        <v>70</v>
      </c>
      <c r="D38" s="11" t="s">
        <v>36</v>
      </c>
      <c r="E38" s="10" t="s">
        <v>9</v>
      </c>
      <c r="F38" s="19">
        <v>10.0</v>
      </c>
      <c r="G38" s="11" t="s">
        <v>57</v>
      </c>
    </row>
    <row r="39" ht="14.25" customHeight="1">
      <c r="A39" s="16">
        <v>37.0</v>
      </c>
      <c r="B39" s="15" t="s">
        <v>71</v>
      </c>
      <c r="C39" s="21" t="s">
        <v>72</v>
      </c>
      <c r="D39" s="11" t="s">
        <v>36</v>
      </c>
      <c r="E39" s="10" t="s">
        <v>9</v>
      </c>
      <c r="F39" s="19">
        <v>9.0</v>
      </c>
      <c r="G39" s="11" t="s">
        <v>57</v>
      </c>
    </row>
    <row r="40" ht="14.25" customHeight="1">
      <c r="A40" s="16">
        <v>38.0</v>
      </c>
      <c r="B40" s="25" t="s">
        <v>73</v>
      </c>
      <c r="C40" s="26" t="s">
        <v>74</v>
      </c>
      <c r="D40" s="11" t="s">
        <v>36</v>
      </c>
      <c r="E40" s="10" t="s">
        <v>9</v>
      </c>
      <c r="F40" s="23">
        <v>1.0</v>
      </c>
      <c r="G40" s="11" t="s">
        <v>57</v>
      </c>
    </row>
    <row r="41" ht="14.25" customHeight="1">
      <c r="A41" s="16">
        <v>39.0</v>
      </c>
      <c r="B41" s="25" t="s">
        <v>75</v>
      </c>
      <c r="C41" s="27" t="s">
        <v>76</v>
      </c>
      <c r="D41" s="11" t="s">
        <v>77</v>
      </c>
      <c r="E41" s="10" t="s">
        <v>9</v>
      </c>
    </row>
    <row r="42" ht="14.25" customHeight="1">
      <c r="A42" s="16">
        <v>40.0</v>
      </c>
      <c r="B42" s="28" t="s">
        <v>78</v>
      </c>
      <c r="C42" s="17" t="s">
        <v>79</v>
      </c>
      <c r="D42" s="11" t="s">
        <v>77</v>
      </c>
      <c r="E42" s="10" t="s">
        <v>9</v>
      </c>
      <c r="G42" s="11" t="s">
        <v>57</v>
      </c>
    </row>
    <row r="43" ht="14.25" customHeight="1">
      <c r="A43" s="16">
        <v>41.0</v>
      </c>
      <c r="B43" s="28" t="s">
        <v>80</v>
      </c>
      <c r="D43" s="11" t="s">
        <v>77</v>
      </c>
      <c r="E43" s="10" t="s">
        <v>9</v>
      </c>
    </row>
    <row r="44" ht="14.25" customHeight="1">
      <c r="A44" s="16">
        <v>42.0</v>
      </c>
      <c r="B44" s="28" t="s">
        <v>81</v>
      </c>
      <c r="D44" s="11" t="s">
        <v>13</v>
      </c>
      <c r="E44" s="10" t="s">
        <v>9</v>
      </c>
      <c r="G44" s="19" t="s">
        <v>82</v>
      </c>
    </row>
    <row r="45" ht="14.25" customHeight="1">
      <c r="A45" s="16">
        <v>43.0</v>
      </c>
      <c r="B45" s="28" t="s">
        <v>83</v>
      </c>
      <c r="C45" s="11"/>
      <c r="D45" s="11" t="s">
        <v>77</v>
      </c>
      <c r="E45" s="10" t="s">
        <v>9</v>
      </c>
      <c r="G45" s="11" t="s">
        <v>57</v>
      </c>
    </row>
    <row r="46" ht="14.25" customHeight="1">
      <c r="A46" s="16">
        <v>44.0</v>
      </c>
      <c r="B46" s="28" t="s">
        <v>84</v>
      </c>
      <c r="C46" s="11"/>
      <c r="D46" s="11" t="s">
        <v>77</v>
      </c>
      <c r="E46" s="10" t="s">
        <v>9</v>
      </c>
      <c r="G46" s="11" t="s">
        <v>57</v>
      </c>
    </row>
    <row r="47" ht="14.25" customHeight="1">
      <c r="A47" s="16">
        <v>45.0</v>
      </c>
      <c r="B47" s="28" t="s">
        <v>85</v>
      </c>
      <c r="C47" s="11"/>
      <c r="D47" s="11" t="s">
        <v>77</v>
      </c>
      <c r="E47" s="10" t="s">
        <v>9</v>
      </c>
      <c r="G47" s="11"/>
    </row>
    <row r="48" ht="14.25" customHeight="1">
      <c r="A48" s="16">
        <v>46.0</v>
      </c>
      <c r="B48" s="15" t="s">
        <v>86</v>
      </c>
      <c r="C48" s="29" t="s">
        <v>87</v>
      </c>
      <c r="D48" s="15" t="s">
        <v>36</v>
      </c>
      <c r="E48" s="10" t="s">
        <v>88</v>
      </c>
      <c r="G48" s="18" t="s">
        <v>89</v>
      </c>
    </row>
    <row r="49" ht="14.25" customHeight="1">
      <c r="A49" s="16">
        <v>47.0</v>
      </c>
      <c r="B49" s="19" t="s">
        <v>90</v>
      </c>
    </row>
    <row r="50" ht="14.25" customHeight="1">
      <c r="A50" s="16">
        <v>48.0</v>
      </c>
    </row>
    <row r="51" ht="14.25" customHeight="1">
      <c r="A51" s="16">
        <v>49.0</v>
      </c>
    </row>
    <row r="52" ht="14.25" customHeight="1">
      <c r="A52" s="16">
        <v>50.0</v>
      </c>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dataValidations>
    <dataValidation type="list" allowBlank="1" showErrorMessage="1" sqref="E3:E48">
      <formula1>"Mới,Đang thực hiện,Hoàn thành,Fix Bug,Hủy"</formula1>
    </dataValidation>
  </dataValidations>
  <hyperlinks>
    <hyperlink r:id="rId1" location="gid=1344197067" ref="C23"/>
    <hyperlink r:id="rId2" location="gid=2048341757" ref="C24"/>
    <hyperlink display="https://docs.google.com/spreadsheets/d/1jljZd94q5hPs_VCUIFFelofH5LKgkAhLZL3cJTgx-xM/edit?gid=1481471413#gid=1481471413" location="'form Phiếu chuyển kho'!A1" ref="C25"/>
    <hyperlink display="https://docs.google.com/spreadsheets/d/1jljZd94q5hPs_VCUIFFelofH5LKgkAhLZL3cJTgx-xM/edit?gid=1370268362#gid=1370268362" location="'Báo cáo Tồn kho'!A1" ref="C27"/>
    <hyperlink display="https://docs.google.com/spreadsheets/d/1jljZd94q5hPs_VCUIFFelofH5LKgkAhLZL3cJTgx-xM/edit?gid=645871979#gid=645871979" location="'BC Chênh lệch tiền - vàng tổng '!A1" ref="C31"/>
    <hyperlink display="https://docs.google.com/spreadsheets/d/1jljZd94q5hPs_VCUIFFelofH5LKgkAhLZL3cJTgx-xM/edit?gid=645871979#gid=645871979" location="'BC Chênh lệch tiền - vàng tổng '!A1" ref="C32"/>
    <hyperlink r:id="rId3" location="gid=519727173" ref="C33"/>
    <hyperlink display="https://docs.google.com/spreadsheets/d/1jljZd94q5hPs_VCUIFFelofH5LKgkAhLZL3cJTgx-xM/edit?gid=130783177#gid=130783177" location="'BC thống kê tiền giao dịch (trư'!A1" ref="C34"/>
    <hyperlink display="https://docs.google.com/spreadsheets/d/1jljZd94q5hPs_VCUIFFelofH5LKgkAhLZL3cJTgx-xM/edit?gid=1416312860#gid=1416312860" location="'BC thống kê tiền giao dịch (sau'!A1" ref="C35"/>
    <hyperlink display="https://docs.google.com/spreadsheets/d/1jljZd94q5hPs_VCUIFFelofH5LKgkAhLZL3cJTgx-xM/edit?gid=1295830066#gid=1295830066" location="'BC Trọng lượng theo Loại vàng'!A1" ref="C36"/>
    <hyperlink display="Thống kê số lượng hóa đơn đã kiểm/Tổng hóa đơn.&#10;https://docs.google.com/spreadsheets/d/1jljZd94q5hPs_VCUIFFelofH5LKgkAhLZL3cJTgx-xM/edit?gid=841969480#gid=841969480" location="'BC Thống kê hóa đơn'!A1" ref="C37"/>
    <hyperlink display="Báo cáo thống kê tiền bớt (lấy tất cả các giao dịch của PMV có Tiền bớt &lt;&gt; 0) - Viết Store lấy Data (Done)&#10;Link task: https://docs.google.com/spreadsheets/d/1jljZd94q5hPs_VCUIFFelofH5LKgkAhLZL3cJTgx-xM/edit?gid=387628385#gid=387628385" location="'BC thống kê tiền bớt'!A1" ref="C38"/>
    <hyperlink display="Báo cáo thống kê trừ điểm tích lũy (lấy tất cả các giao dịch của PMV có Điểm tích lũy &lt;&gt; 0) - Viết Store lấy Data (Done)&#10;Link task: https://docs.google.com/spreadsheets/d/1jljZd94q5hPs_VCUIFFelofH5LKgkAhLZL3cJTgx-xM/edit?gid=1822180059#gid=1822180059" location="'BC Trừ điểm tích lũy'!A1" ref="C39"/>
    <hyperlink display="https://docs.google.com/spreadsheets/d/1jljZd94q5hPs_VCUIFFelofH5LKgkAhLZL3cJTgx-xM/edit?gid=2059345543#gid=2059345543" location="'NV - BC Phân loại hàng'!A1" ref="C40"/>
    <hyperlink r:id="rId4" location="gid=2093211190" ref="C42"/>
    <hyperlink display="https://docs.google.com/spreadsheets/d/1jljZd94q5hPs_VCUIFFelofH5LKgkAhLZL3cJTgx-xM/edit?gid=1171169880#gid=1171169880" location="'form Phân loại hàng'!A1" ref="C48"/>
  </hyperlinks>
  <printOptions/>
  <pageMargins bottom="0.75" footer="0.0" header="0.0" left="0.7" right="0.7" top="0.75"/>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27.71"/>
    <col customWidth="1" min="3" max="3" width="30.14"/>
    <col customWidth="1" min="4" max="4" width="57.29"/>
    <col customWidth="1" min="5" max="5" width="18.57"/>
    <col customWidth="1" min="6" max="6" width="17.86"/>
    <col customWidth="1" min="7" max="7" width="18.29"/>
    <col customWidth="1" min="8" max="8" width="20.14"/>
    <col customWidth="1" min="9" max="9" width="57.14"/>
    <col customWidth="1" min="10" max="19" width="8.71"/>
  </cols>
  <sheetData>
    <row r="1">
      <c r="A1" s="1" t="s">
        <v>91</v>
      </c>
      <c r="B1" s="2"/>
      <c r="C1" s="2"/>
      <c r="D1" s="2"/>
      <c r="E1" s="2"/>
      <c r="I1" s="2"/>
    </row>
    <row r="2" ht="14.25" customHeight="1">
      <c r="A2" s="3" t="s">
        <v>1</v>
      </c>
      <c r="B2" s="4" t="s">
        <v>92</v>
      </c>
      <c r="C2" s="4" t="s">
        <v>2</v>
      </c>
      <c r="D2" s="4" t="s">
        <v>93</v>
      </c>
      <c r="E2" s="4" t="s">
        <v>94</v>
      </c>
      <c r="F2" s="3" t="s">
        <v>4</v>
      </c>
      <c r="G2" s="5" t="s">
        <v>5</v>
      </c>
      <c r="H2" s="30" t="s">
        <v>95</v>
      </c>
      <c r="I2" s="3" t="s">
        <v>7</v>
      </c>
      <c r="J2" s="6"/>
      <c r="K2" s="6"/>
      <c r="L2" s="6"/>
      <c r="M2" s="6"/>
      <c r="N2" s="6"/>
      <c r="O2" s="6"/>
      <c r="P2" s="6"/>
      <c r="Q2" s="6"/>
      <c r="R2" s="6"/>
      <c r="S2" s="6"/>
    </row>
    <row r="3" ht="14.25" customHeight="1">
      <c r="A3" s="31">
        <f t="array" ref="A3:A22">SEQUENCE(20,1)</f>
        <v>1</v>
      </c>
      <c r="B3" s="32" t="s">
        <v>33</v>
      </c>
      <c r="C3" s="33" t="s">
        <v>96</v>
      </c>
      <c r="D3" s="33" t="s">
        <v>97</v>
      </c>
      <c r="E3" s="34" t="s">
        <v>87</v>
      </c>
      <c r="F3" s="35" t="s">
        <v>36</v>
      </c>
      <c r="G3" s="35" t="s">
        <v>88</v>
      </c>
      <c r="H3" s="35"/>
      <c r="I3" s="33"/>
      <c r="J3" s="36"/>
      <c r="K3" s="36"/>
      <c r="L3" s="36"/>
      <c r="M3" s="36"/>
      <c r="N3" s="36"/>
      <c r="O3" s="36"/>
      <c r="P3" s="36"/>
      <c r="Q3" s="36"/>
      <c r="R3" s="36"/>
      <c r="S3" s="36"/>
    </row>
    <row r="4" ht="14.25" customHeight="1">
      <c r="A4" s="31">
        <v>2.0</v>
      </c>
      <c r="B4" s="32" t="s">
        <v>34</v>
      </c>
      <c r="C4" s="33"/>
      <c r="D4" s="33"/>
      <c r="E4" s="37"/>
      <c r="F4" s="35"/>
      <c r="G4" s="35"/>
      <c r="H4" s="35"/>
      <c r="I4" s="33"/>
      <c r="J4" s="36"/>
      <c r="K4" s="36"/>
      <c r="L4" s="36"/>
      <c r="M4" s="36"/>
      <c r="N4" s="36"/>
      <c r="O4" s="36"/>
      <c r="P4" s="36"/>
      <c r="Q4" s="36"/>
      <c r="R4" s="36"/>
      <c r="S4" s="36"/>
    </row>
    <row r="5" ht="14.25" customHeight="1">
      <c r="A5" s="31">
        <v>3.0</v>
      </c>
      <c r="B5" s="32" t="s">
        <v>39</v>
      </c>
      <c r="C5" s="33"/>
      <c r="D5" s="33"/>
      <c r="E5" s="37"/>
      <c r="F5" s="35"/>
      <c r="G5" s="35"/>
      <c r="H5" s="35"/>
      <c r="I5" s="33"/>
      <c r="J5" s="36"/>
      <c r="K5" s="36"/>
      <c r="L5" s="36"/>
      <c r="M5" s="36"/>
      <c r="N5" s="36"/>
      <c r="O5" s="36"/>
      <c r="P5" s="36"/>
      <c r="Q5" s="36"/>
      <c r="R5" s="36"/>
      <c r="S5" s="36"/>
    </row>
    <row r="6" ht="14.25" customHeight="1">
      <c r="A6" s="31">
        <v>4.0</v>
      </c>
      <c r="B6" s="32" t="s">
        <v>98</v>
      </c>
      <c r="C6" s="33"/>
      <c r="D6" s="33"/>
      <c r="E6" s="37"/>
      <c r="F6" s="35"/>
      <c r="G6" s="35"/>
      <c r="H6" s="35"/>
      <c r="I6" s="33"/>
      <c r="J6" s="36"/>
      <c r="K6" s="36"/>
      <c r="L6" s="36"/>
      <c r="M6" s="36"/>
      <c r="N6" s="36"/>
      <c r="O6" s="36"/>
      <c r="P6" s="36"/>
      <c r="Q6" s="36"/>
      <c r="R6" s="36"/>
      <c r="S6" s="36"/>
    </row>
    <row r="7" ht="14.25" customHeight="1">
      <c r="A7" s="31">
        <v>5.0</v>
      </c>
      <c r="B7" s="32" t="s">
        <v>99</v>
      </c>
      <c r="C7" s="33"/>
      <c r="D7" s="33"/>
      <c r="E7" s="37"/>
      <c r="F7" s="35"/>
      <c r="G7" s="35"/>
      <c r="H7" s="35"/>
      <c r="I7" s="33"/>
      <c r="J7" s="36"/>
      <c r="K7" s="36"/>
      <c r="L7" s="36"/>
      <c r="M7" s="36"/>
      <c r="N7" s="36"/>
      <c r="O7" s="36"/>
      <c r="P7" s="36"/>
      <c r="Q7" s="36"/>
      <c r="R7" s="36"/>
      <c r="S7" s="36"/>
    </row>
    <row r="8" ht="14.25" customHeight="1">
      <c r="A8" s="31">
        <v>6.0</v>
      </c>
      <c r="B8" s="32"/>
      <c r="C8" s="33"/>
      <c r="D8" s="33"/>
      <c r="E8" s="37"/>
      <c r="F8" s="35"/>
      <c r="G8" s="35"/>
      <c r="H8" s="35"/>
      <c r="I8" s="33"/>
      <c r="J8" s="36"/>
      <c r="K8" s="36"/>
      <c r="L8" s="36"/>
      <c r="M8" s="36"/>
      <c r="N8" s="36"/>
      <c r="O8" s="36"/>
      <c r="P8" s="36"/>
      <c r="Q8" s="36"/>
      <c r="R8" s="36"/>
      <c r="S8" s="36"/>
    </row>
    <row r="9" ht="14.25" customHeight="1">
      <c r="A9" s="31">
        <v>7.0</v>
      </c>
      <c r="B9" s="32"/>
      <c r="C9" s="33"/>
      <c r="D9" s="33"/>
      <c r="E9" s="37"/>
      <c r="F9" s="35"/>
      <c r="G9" s="35"/>
      <c r="H9" s="35"/>
      <c r="I9" s="33"/>
      <c r="J9" s="36"/>
      <c r="K9" s="36"/>
      <c r="L9" s="36"/>
      <c r="M9" s="36"/>
      <c r="N9" s="36"/>
      <c r="O9" s="36"/>
      <c r="P9" s="36"/>
      <c r="Q9" s="36"/>
      <c r="R9" s="36"/>
      <c r="S9" s="36"/>
    </row>
    <row r="10" ht="14.25" customHeight="1">
      <c r="A10" s="31">
        <v>8.0</v>
      </c>
      <c r="B10" s="32"/>
      <c r="C10" s="33"/>
      <c r="D10" s="33"/>
      <c r="E10" s="37"/>
      <c r="F10" s="35"/>
      <c r="G10" s="35"/>
      <c r="H10" s="35"/>
      <c r="I10" s="33"/>
      <c r="J10" s="36"/>
      <c r="K10" s="36"/>
      <c r="L10" s="36"/>
      <c r="M10" s="36"/>
      <c r="N10" s="36"/>
      <c r="O10" s="36"/>
      <c r="P10" s="36"/>
      <c r="Q10" s="36"/>
      <c r="R10" s="36"/>
      <c r="S10" s="36"/>
    </row>
    <row r="11" ht="14.25" customHeight="1">
      <c r="A11" s="31">
        <v>9.0</v>
      </c>
      <c r="B11" s="32"/>
      <c r="C11" s="33"/>
      <c r="D11" s="33"/>
      <c r="E11" s="37"/>
      <c r="F11" s="35"/>
      <c r="G11" s="35"/>
      <c r="H11" s="35"/>
      <c r="I11" s="33"/>
      <c r="J11" s="36"/>
      <c r="K11" s="36"/>
      <c r="L11" s="36"/>
      <c r="M11" s="36"/>
      <c r="N11" s="36"/>
      <c r="O11" s="36"/>
      <c r="P11" s="36"/>
      <c r="Q11" s="36"/>
      <c r="R11" s="36"/>
      <c r="S11" s="36"/>
    </row>
    <row r="12" ht="14.25" customHeight="1">
      <c r="A12" s="31">
        <v>10.0</v>
      </c>
      <c r="B12" s="32"/>
      <c r="C12" s="33"/>
      <c r="D12" s="33"/>
      <c r="E12" s="37"/>
      <c r="F12" s="35"/>
      <c r="G12" s="35"/>
      <c r="H12" s="35"/>
      <c r="I12" s="33"/>
      <c r="J12" s="36"/>
      <c r="K12" s="36"/>
      <c r="L12" s="36"/>
      <c r="M12" s="36"/>
      <c r="N12" s="36"/>
      <c r="O12" s="36"/>
      <c r="P12" s="36"/>
      <c r="Q12" s="36"/>
      <c r="R12" s="36"/>
      <c r="S12" s="36"/>
    </row>
    <row r="13" ht="14.25" customHeight="1">
      <c r="A13" s="31">
        <v>11.0</v>
      </c>
      <c r="B13" s="32"/>
      <c r="C13" s="33"/>
      <c r="D13" s="33"/>
      <c r="E13" s="37"/>
      <c r="F13" s="35"/>
      <c r="G13" s="35"/>
      <c r="H13" s="35"/>
      <c r="I13" s="33"/>
      <c r="J13" s="36"/>
      <c r="K13" s="36"/>
      <c r="L13" s="36"/>
      <c r="M13" s="36"/>
      <c r="N13" s="36"/>
      <c r="O13" s="36"/>
      <c r="P13" s="36"/>
      <c r="Q13" s="36"/>
      <c r="R13" s="36"/>
      <c r="S13" s="36"/>
    </row>
    <row r="14" ht="14.25" customHeight="1">
      <c r="A14" s="31">
        <v>12.0</v>
      </c>
      <c r="B14" s="32"/>
      <c r="C14" s="33"/>
      <c r="D14" s="33"/>
      <c r="E14" s="37"/>
      <c r="F14" s="35"/>
      <c r="G14" s="35"/>
      <c r="H14" s="35"/>
      <c r="I14" s="33"/>
      <c r="J14" s="36"/>
      <c r="K14" s="36"/>
      <c r="L14" s="36"/>
      <c r="M14" s="36"/>
      <c r="N14" s="36"/>
      <c r="O14" s="36"/>
      <c r="P14" s="36"/>
      <c r="Q14" s="36"/>
      <c r="R14" s="36"/>
      <c r="S14" s="36"/>
    </row>
    <row r="15" ht="14.25" customHeight="1">
      <c r="A15" s="31">
        <v>13.0</v>
      </c>
      <c r="B15" s="32"/>
      <c r="C15" s="33"/>
      <c r="D15" s="33"/>
      <c r="E15" s="37"/>
      <c r="F15" s="35"/>
      <c r="G15" s="35"/>
      <c r="H15" s="35"/>
      <c r="I15" s="33"/>
      <c r="J15" s="36"/>
      <c r="K15" s="36"/>
      <c r="L15" s="36"/>
      <c r="M15" s="36"/>
      <c r="N15" s="36"/>
      <c r="O15" s="36"/>
      <c r="P15" s="36"/>
      <c r="Q15" s="36"/>
      <c r="R15" s="36"/>
      <c r="S15" s="36"/>
    </row>
    <row r="16" ht="14.25" customHeight="1">
      <c r="A16" s="31">
        <v>14.0</v>
      </c>
      <c r="B16" s="32"/>
      <c r="C16" s="33"/>
      <c r="D16" s="33"/>
      <c r="E16" s="37"/>
      <c r="F16" s="35"/>
      <c r="G16" s="35"/>
      <c r="H16" s="35"/>
      <c r="I16" s="33"/>
      <c r="J16" s="36"/>
      <c r="K16" s="36"/>
      <c r="L16" s="36"/>
      <c r="M16" s="36"/>
      <c r="N16" s="36"/>
      <c r="O16" s="36"/>
      <c r="P16" s="36"/>
      <c r="Q16" s="36"/>
      <c r="R16" s="36"/>
      <c r="S16" s="36"/>
    </row>
    <row r="17" ht="14.25" customHeight="1">
      <c r="A17" s="31">
        <v>15.0</v>
      </c>
      <c r="B17" s="32"/>
      <c r="C17" s="33"/>
      <c r="D17" s="33"/>
      <c r="E17" s="37"/>
      <c r="F17" s="35"/>
      <c r="G17" s="35"/>
      <c r="H17" s="35"/>
      <c r="I17" s="33"/>
      <c r="J17" s="36"/>
      <c r="K17" s="36"/>
      <c r="L17" s="36"/>
      <c r="M17" s="36"/>
      <c r="N17" s="36"/>
      <c r="O17" s="36"/>
      <c r="P17" s="36"/>
      <c r="Q17" s="36"/>
      <c r="R17" s="36"/>
      <c r="S17" s="36"/>
    </row>
    <row r="18" ht="14.25" customHeight="1">
      <c r="A18" s="31">
        <v>16.0</v>
      </c>
      <c r="B18" s="32"/>
      <c r="C18" s="33"/>
      <c r="D18" s="33"/>
      <c r="E18" s="37"/>
      <c r="F18" s="35"/>
      <c r="G18" s="35"/>
      <c r="H18" s="35"/>
      <c r="I18" s="33"/>
      <c r="J18" s="36"/>
      <c r="K18" s="36"/>
      <c r="L18" s="36"/>
      <c r="M18" s="36"/>
      <c r="N18" s="36"/>
      <c r="O18" s="36"/>
      <c r="P18" s="36"/>
      <c r="Q18" s="36"/>
      <c r="R18" s="36"/>
      <c r="S18" s="36"/>
    </row>
    <row r="19" ht="14.25" customHeight="1">
      <c r="A19" s="31">
        <v>17.0</v>
      </c>
      <c r="B19" s="32"/>
      <c r="C19" s="33"/>
      <c r="D19" s="33"/>
      <c r="E19" s="37"/>
      <c r="F19" s="35"/>
      <c r="G19" s="35"/>
      <c r="H19" s="35"/>
      <c r="I19" s="33"/>
      <c r="J19" s="36"/>
      <c r="K19" s="36"/>
      <c r="L19" s="36"/>
      <c r="M19" s="36"/>
      <c r="N19" s="36"/>
      <c r="O19" s="36"/>
      <c r="P19" s="36"/>
      <c r="Q19" s="36"/>
      <c r="R19" s="36"/>
      <c r="S19" s="36"/>
    </row>
    <row r="20" ht="14.25" customHeight="1">
      <c r="A20" s="31">
        <v>18.0</v>
      </c>
      <c r="B20" s="32"/>
      <c r="C20" s="33"/>
      <c r="D20" s="33"/>
      <c r="E20" s="37"/>
      <c r="F20" s="35"/>
      <c r="G20" s="35"/>
      <c r="H20" s="35"/>
      <c r="I20" s="33"/>
      <c r="J20" s="36"/>
      <c r="K20" s="36"/>
      <c r="L20" s="36"/>
      <c r="M20" s="36"/>
      <c r="N20" s="36"/>
      <c r="O20" s="36"/>
      <c r="P20" s="36"/>
      <c r="Q20" s="36"/>
      <c r="R20" s="36"/>
      <c r="S20" s="36"/>
    </row>
    <row r="21" ht="14.25" customHeight="1">
      <c r="A21" s="31">
        <v>19.0</v>
      </c>
      <c r="B21" s="32"/>
      <c r="C21" s="33"/>
      <c r="D21" s="33"/>
      <c r="E21" s="37"/>
      <c r="F21" s="35"/>
      <c r="G21" s="35"/>
      <c r="H21" s="35"/>
      <c r="I21" s="33"/>
      <c r="J21" s="36"/>
      <c r="K21" s="36"/>
      <c r="L21" s="36"/>
      <c r="M21" s="36"/>
      <c r="N21" s="36"/>
      <c r="O21" s="36"/>
      <c r="P21" s="36"/>
      <c r="Q21" s="36"/>
      <c r="R21" s="36"/>
      <c r="S21" s="36"/>
    </row>
    <row r="22" ht="14.25" customHeight="1">
      <c r="A22" s="31">
        <v>20.0</v>
      </c>
      <c r="B22" s="32"/>
      <c r="C22" s="33"/>
      <c r="D22" s="33"/>
      <c r="E22" s="37"/>
      <c r="F22" s="35"/>
      <c r="G22" s="35"/>
      <c r="H22" s="35"/>
      <c r="I22" s="33"/>
      <c r="J22" s="36"/>
      <c r="K22" s="36"/>
      <c r="L22" s="36"/>
      <c r="M22" s="36"/>
      <c r="N22" s="36"/>
      <c r="O22" s="36"/>
      <c r="P22" s="36"/>
      <c r="Q22" s="36"/>
      <c r="R22" s="36"/>
      <c r="S22" s="3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sheetData>
  <dataValidations>
    <dataValidation type="list" allowBlank="1" showErrorMessage="1" sqref="G3:H22">
      <formula1>"Mới,Đang thực hiện,Hoàn thành,Fix Bug,Hủy"</formula1>
    </dataValidation>
  </dataValidations>
  <hyperlinks>
    <hyperlink r:id="rId1" location="gid=1171169880" ref="E3"/>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32.43"/>
    <col customWidth="1" min="3" max="3" width="24.71"/>
    <col customWidth="1" min="4" max="4" width="21.0"/>
    <col customWidth="1" min="5" max="5" width="39.43"/>
    <col customWidth="1" min="6" max="15" width="8.71"/>
  </cols>
  <sheetData>
    <row r="1">
      <c r="A1" s="1" t="s">
        <v>100</v>
      </c>
      <c r="B1" s="2"/>
      <c r="C1" s="2"/>
      <c r="D1" s="2"/>
      <c r="E1" s="2"/>
    </row>
    <row r="2" ht="14.25" customHeight="1">
      <c r="A2" s="3" t="s">
        <v>1</v>
      </c>
      <c r="B2" s="4" t="s">
        <v>101</v>
      </c>
      <c r="C2" s="4" t="s">
        <v>3</v>
      </c>
      <c r="D2" s="3" t="s">
        <v>7</v>
      </c>
      <c r="E2" s="4" t="s">
        <v>102</v>
      </c>
      <c r="F2" s="6"/>
      <c r="G2" s="6"/>
      <c r="H2" s="6"/>
      <c r="I2" s="6"/>
      <c r="J2" s="6"/>
      <c r="K2" s="6"/>
      <c r="L2" s="6"/>
      <c r="M2" s="6"/>
      <c r="N2" s="6"/>
      <c r="O2" s="6"/>
    </row>
    <row r="3" ht="14.25" customHeight="1">
      <c r="A3" s="7">
        <f t="array" ref="A3:A52">SEQUENCE(50,1)</f>
        <v>1</v>
      </c>
      <c r="B3" s="11" t="s">
        <v>103</v>
      </c>
      <c r="C3" s="9"/>
      <c r="D3" s="11" t="s">
        <v>10</v>
      </c>
      <c r="E3" s="8" t="s">
        <v>8</v>
      </c>
    </row>
    <row r="4" ht="14.25" customHeight="1">
      <c r="A4" s="7">
        <v>2.0</v>
      </c>
      <c r="B4" s="15" t="s">
        <v>104</v>
      </c>
      <c r="C4" s="9"/>
      <c r="D4" s="11"/>
      <c r="E4" s="12" t="s">
        <v>11</v>
      </c>
    </row>
    <row r="5" ht="14.25" customHeight="1">
      <c r="A5" s="7">
        <v>3.0</v>
      </c>
      <c r="B5" s="15" t="s">
        <v>105</v>
      </c>
      <c r="C5" s="9"/>
      <c r="D5" s="11"/>
      <c r="E5" s="12" t="s">
        <v>12</v>
      </c>
    </row>
    <row r="6" ht="14.25" customHeight="1">
      <c r="A6" s="7">
        <v>4.0</v>
      </c>
      <c r="B6" s="15" t="s">
        <v>106</v>
      </c>
      <c r="C6" s="9"/>
      <c r="D6" s="11"/>
      <c r="E6" s="12" t="s">
        <v>15</v>
      </c>
    </row>
    <row r="7" ht="14.25" customHeight="1">
      <c r="A7" s="7">
        <v>5.0</v>
      </c>
      <c r="B7" s="38" t="s">
        <v>107</v>
      </c>
      <c r="C7" s="9"/>
      <c r="D7" s="11"/>
      <c r="E7" s="13" t="s">
        <v>16</v>
      </c>
    </row>
    <row r="8" ht="14.25" customHeight="1">
      <c r="A8" s="7">
        <v>6.0</v>
      </c>
      <c r="B8" s="12"/>
      <c r="C8" s="9"/>
      <c r="D8" s="11"/>
      <c r="E8" s="12" t="s">
        <v>17</v>
      </c>
    </row>
    <row r="9" ht="14.25" customHeight="1">
      <c r="A9" s="7">
        <v>7.0</v>
      </c>
      <c r="B9" s="14"/>
      <c r="C9" s="9"/>
      <c r="D9" s="11"/>
      <c r="E9" s="14" t="s">
        <v>19</v>
      </c>
    </row>
    <row r="10" ht="14.25" customHeight="1">
      <c r="A10" s="7">
        <v>8.0</v>
      </c>
      <c r="B10" s="12"/>
      <c r="C10" s="9"/>
      <c r="D10" s="11"/>
      <c r="E10" s="12" t="s">
        <v>20</v>
      </c>
    </row>
    <row r="11" ht="14.25" customHeight="1">
      <c r="A11" s="7">
        <v>9.0</v>
      </c>
      <c r="B11" s="12"/>
      <c r="C11" s="9"/>
      <c r="D11" s="11"/>
      <c r="E11" s="12" t="s">
        <v>21</v>
      </c>
    </row>
    <row r="12" ht="14.25" customHeight="1">
      <c r="A12" s="7">
        <v>10.0</v>
      </c>
      <c r="B12" s="12"/>
      <c r="C12" s="9"/>
      <c r="D12" s="11"/>
      <c r="E12" s="12" t="s">
        <v>22</v>
      </c>
    </row>
    <row r="13" ht="14.25" customHeight="1">
      <c r="A13" s="7">
        <v>11.0</v>
      </c>
      <c r="B13" s="12"/>
      <c r="D13" s="11"/>
      <c r="E13" s="12" t="s">
        <v>23</v>
      </c>
    </row>
    <row r="14" ht="14.25" customHeight="1">
      <c r="A14" s="7">
        <v>12.0</v>
      </c>
      <c r="B14" s="12"/>
      <c r="D14" s="11"/>
      <c r="E14" s="12" t="s">
        <v>24</v>
      </c>
    </row>
    <row r="15" ht="14.25" customHeight="1">
      <c r="A15" s="7">
        <v>13.0</v>
      </c>
      <c r="B15" s="15"/>
      <c r="C15" s="9"/>
      <c r="D15" s="11"/>
      <c r="E15" s="15" t="s">
        <v>26</v>
      </c>
    </row>
    <row r="16" ht="14.25" customHeight="1">
      <c r="A16" s="7">
        <v>14.0</v>
      </c>
      <c r="B16" s="12"/>
      <c r="C16" s="11"/>
      <c r="D16" s="11"/>
      <c r="E16" s="12" t="s">
        <v>27</v>
      </c>
    </row>
    <row r="17" ht="14.25" customHeight="1">
      <c r="A17" s="7">
        <v>15.0</v>
      </c>
      <c r="B17" s="12"/>
      <c r="C17" s="11"/>
      <c r="D17" s="11"/>
      <c r="E17" s="12" t="s">
        <v>29</v>
      </c>
    </row>
    <row r="18" ht="14.25" customHeight="1">
      <c r="A18" s="7">
        <v>16.0</v>
      </c>
      <c r="B18" s="12"/>
      <c r="D18" s="11"/>
      <c r="E18" s="12" t="s">
        <v>108</v>
      </c>
    </row>
    <row r="19" ht="14.25" customHeight="1">
      <c r="A19" s="7">
        <v>17.0</v>
      </c>
      <c r="B19" s="12"/>
      <c r="D19" s="11"/>
      <c r="E19" s="12" t="s">
        <v>30</v>
      </c>
    </row>
    <row r="20" ht="14.25" customHeight="1">
      <c r="A20" s="7">
        <v>18.0</v>
      </c>
      <c r="B20" s="12"/>
      <c r="D20" s="11"/>
      <c r="E20" s="12" t="s">
        <v>31</v>
      </c>
    </row>
    <row r="21" ht="14.25" customHeight="1">
      <c r="A21" s="16">
        <v>19.0</v>
      </c>
      <c r="B21" s="12"/>
      <c r="C21" s="9"/>
      <c r="D21" s="11"/>
      <c r="E21" s="12" t="s">
        <v>109</v>
      </c>
    </row>
    <row r="22" ht="14.25" customHeight="1">
      <c r="A22" s="16">
        <v>20.0</v>
      </c>
      <c r="B22" s="12"/>
      <c r="C22" s="9"/>
      <c r="D22" s="11"/>
      <c r="E22" s="12" t="s">
        <v>110</v>
      </c>
    </row>
    <row r="23" ht="14.25" customHeight="1">
      <c r="A23" s="16">
        <v>21.0</v>
      </c>
      <c r="B23" s="12"/>
      <c r="C23" s="9"/>
      <c r="D23" s="11"/>
      <c r="E23" s="12" t="s">
        <v>111</v>
      </c>
    </row>
    <row r="24" ht="14.25" customHeight="1">
      <c r="A24" s="16">
        <v>22.0</v>
      </c>
      <c r="B24" s="15"/>
      <c r="C24" s="11"/>
      <c r="D24" s="11"/>
      <c r="E24" s="15" t="s">
        <v>34</v>
      </c>
    </row>
    <row r="25" ht="14.25" customHeight="1">
      <c r="A25" s="16">
        <v>23.0</v>
      </c>
      <c r="B25" s="15"/>
      <c r="C25" s="11"/>
      <c r="D25" s="11"/>
      <c r="E25" s="15" t="s">
        <v>39</v>
      </c>
    </row>
    <row r="26" ht="14.25" customHeight="1">
      <c r="A26" s="16">
        <v>24.0</v>
      </c>
      <c r="B26" s="11"/>
      <c r="C26" s="9"/>
      <c r="D26" s="11"/>
      <c r="E26" s="11" t="s">
        <v>42</v>
      </c>
    </row>
    <row r="27" ht="14.25" customHeight="1">
      <c r="A27" s="16">
        <v>25.0</v>
      </c>
      <c r="B27" s="12"/>
      <c r="C27" s="11"/>
      <c r="D27" s="11"/>
      <c r="E27" s="12" t="s">
        <v>45</v>
      </c>
    </row>
    <row r="28" ht="14.25" customHeight="1">
      <c r="A28" s="16">
        <v>26.0</v>
      </c>
      <c r="B28" s="15"/>
      <c r="C28" s="11"/>
      <c r="D28" s="11"/>
      <c r="E28" s="15" t="s">
        <v>48</v>
      </c>
    </row>
    <row r="29" ht="14.25" customHeight="1">
      <c r="A29" s="12">
        <v>27.0</v>
      </c>
      <c r="B29" s="12"/>
      <c r="C29" s="11"/>
      <c r="D29" s="11"/>
      <c r="E29" s="12" t="s">
        <v>52</v>
      </c>
    </row>
    <row r="30" ht="14.25" customHeight="1">
      <c r="A30" s="12">
        <v>28.0</v>
      </c>
      <c r="B30" s="12"/>
      <c r="C30" s="11"/>
      <c r="D30" s="11"/>
      <c r="E30" s="12" t="s">
        <v>83</v>
      </c>
    </row>
    <row r="31" ht="14.25" customHeight="1">
      <c r="A31" s="12">
        <v>29.0</v>
      </c>
      <c r="B31" s="12"/>
      <c r="C31" s="11"/>
      <c r="D31" s="11"/>
      <c r="E31" s="12" t="s">
        <v>84</v>
      </c>
    </row>
    <row r="32" ht="14.25" customHeight="1">
      <c r="A32" s="12">
        <v>30.0</v>
      </c>
      <c r="B32" s="12"/>
      <c r="C32" s="11"/>
      <c r="D32" s="11"/>
      <c r="E32" s="12" t="s">
        <v>53</v>
      </c>
    </row>
    <row r="33" ht="14.25" customHeight="1">
      <c r="A33" s="12">
        <v>31.0</v>
      </c>
      <c r="B33" s="12"/>
      <c r="C33" s="22"/>
      <c r="D33" s="11"/>
      <c r="E33" s="12" t="s">
        <v>55</v>
      </c>
    </row>
    <row r="34" ht="14.25" customHeight="1">
      <c r="A34" s="12">
        <v>32.0</v>
      </c>
      <c r="B34" s="12"/>
      <c r="C34" s="22"/>
      <c r="D34" s="11"/>
      <c r="E34" s="12" t="s">
        <v>58</v>
      </c>
    </row>
    <row r="35" ht="14.25" customHeight="1">
      <c r="A35" s="12">
        <v>33.0</v>
      </c>
      <c r="B35" s="12"/>
      <c r="D35" s="11"/>
      <c r="E35" s="12" t="s">
        <v>59</v>
      </c>
    </row>
    <row r="36" ht="14.25" customHeight="1">
      <c r="A36" s="12">
        <v>34.0</v>
      </c>
      <c r="B36" s="12"/>
      <c r="C36" s="11"/>
      <c r="D36" s="11"/>
      <c r="E36" s="12" t="s">
        <v>61</v>
      </c>
    </row>
    <row r="37" ht="14.25" customHeight="1">
      <c r="A37" s="12">
        <v>35.0</v>
      </c>
      <c r="B37" s="12"/>
      <c r="C37" s="11"/>
      <c r="D37" s="11"/>
      <c r="E37" s="12" t="s">
        <v>63</v>
      </c>
    </row>
    <row r="38" ht="14.25" customHeight="1">
      <c r="A38" s="12">
        <v>36.0</v>
      </c>
      <c r="B38" s="12"/>
      <c r="C38" s="22"/>
      <c r="D38" s="11"/>
      <c r="E38" s="12" t="s">
        <v>65</v>
      </c>
    </row>
    <row r="39" ht="14.25" customHeight="1">
      <c r="A39" s="12">
        <v>37.0</v>
      </c>
      <c r="B39" s="12"/>
      <c r="C39" s="27"/>
      <c r="D39" s="11"/>
      <c r="E39" s="12" t="s">
        <v>67</v>
      </c>
    </row>
    <row r="40" ht="14.25" customHeight="1">
      <c r="A40" s="12">
        <v>38.0</v>
      </c>
      <c r="B40" s="12"/>
      <c r="C40" s="27"/>
      <c r="D40" s="11"/>
      <c r="E40" s="12" t="s">
        <v>69</v>
      </c>
    </row>
    <row r="41" ht="14.25" customHeight="1">
      <c r="A41" s="12">
        <v>39.0</v>
      </c>
      <c r="B41" s="12"/>
      <c r="C41" s="27"/>
      <c r="D41" s="11"/>
      <c r="E41" s="12" t="s">
        <v>71</v>
      </c>
    </row>
    <row r="42" ht="14.25" customHeight="1">
      <c r="A42" s="12">
        <v>40.0</v>
      </c>
      <c r="B42" s="12"/>
      <c r="C42" s="20"/>
      <c r="D42" s="11"/>
      <c r="E42" s="12" t="s">
        <v>112</v>
      </c>
    </row>
    <row r="43" ht="14.25" customHeight="1">
      <c r="A43" s="12">
        <v>41.0</v>
      </c>
      <c r="B43" s="12"/>
      <c r="C43" s="9"/>
      <c r="D43" s="11"/>
      <c r="E43" s="12" t="s">
        <v>18</v>
      </c>
    </row>
    <row r="44" ht="14.25" customHeight="1">
      <c r="A44" s="12">
        <v>42.0</v>
      </c>
      <c r="B44" s="12"/>
      <c r="C44" s="12"/>
      <c r="E44" s="12"/>
    </row>
    <row r="45" ht="14.25" customHeight="1">
      <c r="A45" s="12">
        <v>43.0</v>
      </c>
      <c r="B45" s="12"/>
      <c r="C45" s="12"/>
      <c r="E45" s="12"/>
    </row>
    <row r="46" ht="14.25" customHeight="1">
      <c r="A46" s="12">
        <v>44.0</v>
      </c>
      <c r="B46" s="12"/>
      <c r="C46" s="12"/>
      <c r="E46" s="12"/>
    </row>
    <row r="47" ht="14.25" customHeight="1">
      <c r="A47" s="12">
        <v>45.0</v>
      </c>
      <c r="B47" s="12"/>
      <c r="C47" s="12"/>
      <c r="E47" s="12"/>
    </row>
    <row r="48" ht="14.25" customHeight="1">
      <c r="A48" s="12">
        <v>46.0</v>
      </c>
      <c r="B48" s="12"/>
      <c r="C48" s="12"/>
      <c r="E48" s="12"/>
    </row>
    <row r="49" ht="14.25" customHeight="1">
      <c r="A49" s="12">
        <v>47.0</v>
      </c>
      <c r="B49" s="12"/>
      <c r="C49" s="12"/>
      <c r="E49" s="12"/>
    </row>
    <row r="50" ht="14.25" customHeight="1">
      <c r="A50" s="12">
        <v>48.0</v>
      </c>
      <c r="B50" s="12"/>
      <c r="C50" s="12"/>
      <c r="E50" s="12"/>
    </row>
    <row r="51" ht="14.25" customHeight="1">
      <c r="A51" s="12">
        <v>49.0</v>
      </c>
      <c r="B51" s="12"/>
      <c r="C51" s="12"/>
      <c r="E51" s="12"/>
    </row>
    <row r="52" ht="14.25" customHeight="1">
      <c r="A52" s="12">
        <v>50.0</v>
      </c>
      <c r="B52" s="12"/>
      <c r="C52" s="12"/>
      <c r="E52" s="12"/>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43.43"/>
    <col customWidth="1" min="3" max="3" width="45.29"/>
    <col customWidth="1" min="4" max="4" width="61.0"/>
    <col customWidth="1" min="5" max="5" width="41.0"/>
    <col customWidth="1" min="6" max="6" width="25.14"/>
  </cols>
  <sheetData>
    <row r="1">
      <c r="A1" s="39"/>
      <c r="B1" s="40"/>
    </row>
    <row r="2">
      <c r="A2" s="39">
        <v>1.0</v>
      </c>
      <c r="B2" s="40" t="s">
        <v>113</v>
      </c>
    </row>
    <row r="3">
      <c r="B3" s="41" t="s">
        <v>15</v>
      </c>
      <c r="C3" s="41" t="s">
        <v>114</v>
      </c>
      <c r="D3" s="41" t="s">
        <v>115</v>
      </c>
    </row>
    <row r="4">
      <c r="A4" s="42"/>
      <c r="B4" s="43"/>
    </row>
    <row r="5" ht="15.75" customHeight="1">
      <c r="B5" s="44" t="s">
        <v>116</v>
      </c>
      <c r="C5" s="44" t="s">
        <v>117</v>
      </c>
      <c r="D5" s="44" t="s">
        <v>118</v>
      </c>
    </row>
    <row r="6" ht="148.5" customHeight="1">
      <c r="B6" s="45" t="s">
        <v>119</v>
      </c>
      <c r="C6" s="45" t="s">
        <v>120</v>
      </c>
      <c r="D6" s="45" t="s">
        <v>121</v>
      </c>
    </row>
    <row r="7" ht="15.75" customHeight="1">
      <c r="B7" s="44" t="s">
        <v>122</v>
      </c>
      <c r="C7" s="44" t="s">
        <v>123</v>
      </c>
      <c r="D7" s="44" t="s">
        <v>124</v>
      </c>
    </row>
    <row r="8" ht="127.5" customHeight="1">
      <c r="B8" s="45" t="s">
        <v>125</v>
      </c>
      <c r="C8" s="45" t="s">
        <v>126</v>
      </c>
      <c r="D8" s="45" t="s">
        <v>127</v>
      </c>
      <c r="E8" s="19" t="s">
        <v>128</v>
      </c>
    </row>
    <row r="9" ht="15.75" customHeight="1"/>
    <row r="10" ht="15.75" customHeight="1">
      <c r="A10" s="40">
        <v>2.0</v>
      </c>
      <c r="B10" s="39" t="s">
        <v>129</v>
      </c>
    </row>
    <row r="11" ht="15.75" customHeight="1"/>
    <row r="12" ht="15.75" customHeight="1">
      <c r="B12" s="46" t="s">
        <v>1</v>
      </c>
      <c r="C12" s="47" t="s">
        <v>130</v>
      </c>
      <c r="D12" s="47" t="s">
        <v>131</v>
      </c>
      <c r="E12" s="47" t="s">
        <v>7</v>
      </c>
    </row>
    <row r="13" ht="15.75" customHeight="1">
      <c r="B13" s="48">
        <v>1.0</v>
      </c>
      <c r="C13" s="49" t="s">
        <v>132</v>
      </c>
      <c r="D13" s="50"/>
      <c r="E13" s="48"/>
    </row>
    <row r="14" ht="15.75" customHeight="1">
      <c r="B14" s="48">
        <v>2.0</v>
      </c>
      <c r="C14" s="51" t="s">
        <v>133</v>
      </c>
      <c r="D14" s="50" t="s">
        <v>134</v>
      </c>
      <c r="E14" s="48"/>
    </row>
    <row r="15" ht="15.75" customHeight="1">
      <c r="B15" s="48">
        <v>3.0</v>
      </c>
      <c r="C15" s="51" t="s">
        <v>135</v>
      </c>
      <c r="D15" s="50" t="s">
        <v>136</v>
      </c>
      <c r="E15" s="48"/>
    </row>
    <row r="16" ht="15.75" customHeight="1">
      <c r="B16" s="48">
        <v>4.0</v>
      </c>
      <c r="C16" s="51" t="s">
        <v>116</v>
      </c>
      <c r="D16" s="50" t="s">
        <v>137</v>
      </c>
      <c r="E16" s="52"/>
    </row>
    <row r="17" ht="15.75" customHeight="1">
      <c r="B17" s="48">
        <v>5.0</v>
      </c>
      <c r="C17" s="53" t="s">
        <v>117</v>
      </c>
      <c r="D17" s="50" t="s">
        <v>138</v>
      </c>
      <c r="E17" s="48"/>
    </row>
    <row r="18" ht="15.75" customHeight="1">
      <c r="B18" s="48">
        <v>6.0</v>
      </c>
      <c r="C18" s="51" t="s">
        <v>118</v>
      </c>
      <c r="D18" s="50" t="s">
        <v>139</v>
      </c>
      <c r="E18" s="48"/>
    </row>
    <row r="19" ht="15.75" customHeight="1">
      <c r="B19" s="48">
        <v>7.0</v>
      </c>
      <c r="C19" s="51" t="s">
        <v>122</v>
      </c>
      <c r="D19" s="50" t="s">
        <v>140</v>
      </c>
      <c r="E19" s="48"/>
    </row>
    <row r="20" ht="15.75" customHeight="1">
      <c r="B20" s="48">
        <v>8.0</v>
      </c>
      <c r="C20" s="53" t="s">
        <v>141</v>
      </c>
      <c r="D20" s="50" t="s">
        <v>142</v>
      </c>
      <c r="E20" s="54" t="s">
        <v>143</v>
      </c>
    </row>
    <row r="21" ht="15.75" customHeight="1">
      <c r="B21" s="48">
        <v>9.0</v>
      </c>
      <c r="C21" s="51" t="s">
        <v>124</v>
      </c>
      <c r="D21" s="50" t="s">
        <v>144</v>
      </c>
      <c r="E21" s="4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19.29"/>
    <col customWidth="1" min="3" max="3" width="44.14"/>
    <col customWidth="1" min="4" max="4" width="73.57"/>
    <col customWidth="1" min="5" max="5" width="55.57"/>
    <col customWidth="1" min="6" max="7" width="38.43"/>
    <col customWidth="1" min="8" max="8" width="8.71"/>
    <col customWidth="1" min="9" max="9" width="21.86"/>
    <col customWidth="1" min="10" max="10" width="19.57"/>
    <col customWidth="1" min="11" max="11" width="15.57"/>
    <col customWidth="1" min="12" max="12" width="17.29"/>
    <col customWidth="1" min="13" max="13" width="25.71"/>
    <col customWidth="1" min="14" max="21" width="8.71"/>
  </cols>
  <sheetData>
    <row r="1" ht="14.25" customHeight="1">
      <c r="A1" s="55" t="s">
        <v>145</v>
      </c>
      <c r="H1" s="56"/>
      <c r="I1" s="56"/>
      <c r="J1" s="56"/>
      <c r="K1" s="56"/>
      <c r="L1" s="56"/>
      <c r="M1" s="56"/>
      <c r="N1" s="56"/>
      <c r="O1" s="56"/>
      <c r="P1" s="56"/>
      <c r="Q1" s="56"/>
      <c r="R1" s="56"/>
      <c r="S1" s="56"/>
      <c r="T1" s="56"/>
      <c r="U1" s="56"/>
    </row>
    <row r="2" ht="14.25" customHeight="1">
      <c r="A2" s="57" t="s">
        <v>1</v>
      </c>
      <c r="B2" s="58" t="s">
        <v>146</v>
      </c>
      <c r="C2" s="58" t="s">
        <v>147</v>
      </c>
      <c r="D2" s="58" t="s">
        <v>3</v>
      </c>
      <c r="E2" s="58" t="s">
        <v>7</v>
      </c>
      <c r="F2" s="58" t="s">
        <v>4</v>
      </c>
      <c r="G2" s="58" t="s">
        <v>148</v>
      </c>
    </row>
    <row r="3" ht="14.25" customHeight="1">
      <c r="A3" s="59">
        <f t="array" ref="A3:A19">SEQUENCE(17,1)</f>
        <v>1</v>
      </c>
      <c r="B3" s="60" t="s">
        <v>149</v>
      </c>
      <c r="C3" s="61"/>
      <c r="D3" s="61"/>
      <c r="E3" s="60"/>
      <c r="F3" s="60"/>
      <c r="G3" s="60"/>
      <c r="H3" s="60"/>
      <c r="I3" s="60"/>
      <c r="J3" s="60"/>
      <c r="K3" s="60"/>
      <c r="L3" s="60"/>
      <c r="M3" s="60"/>
    </row>
    <row r="4" ht="14.25" customHeight="1">
      <c r="A4" s="59">
        <v>2.0</v>
      </c>
      <c r="B4" s="60" t="s">
        <v>150</v>
      </c>
      <c r="C4" s="60"/>
      <c r="D4" s="60"/>
      <c r="E4" s="60"/>
      <c r="F4" s="60"/>
      <c r="G4" s="60"/>
      <c r="H4" s="60"/>
      <c r="I4" s="60"/>
      <c r="J4" s="60"/>
      <c r="K4" s="60"/>
      <c r="L4" s="60"/>
      <c r="M4" s="60"/>
    </row>
    <row r="5" ht="14.25" customHeight="1">
      <c r="A5" s="62">
        <v>3.0</v>
      </c>
      <c r="B5" s="63"/>
      <c r="C5" s="63" t="s">
        <v>151</v>
      </c>
      <c r="D5" s="64" t="s">
        <v>152</v>
      </c>
      <c r="E5" s="65" t="s">
        <v>153</v>
      </c>
      <c r="F5" s="63"/>
      <c r="G5" s="63"/>
      <c r="H5" s="63"/>
      <c r="I5" s="63"/>
      <c r="J5" s="63"/>
      <c r="K5" s="63"/>
      <c r="L5" s="63"/>
      <c r="M5" s="63"/>
      <c r="N5" s="66"/>
      <c r="O5" s="66"/>
      <c r="P5" s="66"/>
      <c r="Q5" s="66"/>
      <c r="R5" s="66"/>
      <c r="S5" s="66"/>
      <c r="T5" s="66"/>
      <c r="U5" s="66"/>
    </row>
    <row r="6" ht="14.25" customHeight="1">
      <c r="A6" s="59">
        <v>4.0</v>
      </c>
      <c r="B6" s="60"/>
      <c r="C6" s="67" t="s">
        <v>59</v>
      </c>
      <c r="D6" s="68" t="s">
        <v>154</v>
      </c>
      <c r="E6" s="65" t="s">
        <v>155</v>
      </c>
      <c r="F6" s="60"/>
      <c r="G6" s="60"/>
      <c r="H6" s="60"/>
      <c r="I6" s="60"/>
      <c r="J6" s="60"/>
      <c r="K6" s="60"/>
      <c r="L6" s="60"/>
      <c r="M6" s="60"/>
    </row>
    <row r="7" ht="14.25" customHeight="1">
      <c r="A7" s="59">
        <v>5.0</v>
      </c>
      <c r="B7" s="60"/>
      <c r="C7" s="67" t="s">
        <v>156</v>
      </c>
      <c r="D7" s="68" t="s">
        <v>157</v>
      </c>
      <c r="E7" s="65" t="s">
        <v>158</v>
      </c>
      <c r="F7" s="60"/>
      <c r="G7" s="60"/>
      <c r="H7" s="60"/>
      <c r="I7" s="60"/>
      <c r="J7" s="60"/>
      <c r="K7" s="60"/>
      <c r="L7" s="60"/>
      <c r="M7" s="60"/>
    </row>
    <row r="8" ht="14.25" customHeight="1">
      <c r="A8" s="59">
        <v>6.0</v>
      </c>
      <c r="B8" s="60"/>
      <c r="C8" s="69" t="s">
        <v>159</v>
      </c>
      <c r="D8" s="68" t="s">
        <v>160</v>
      </c>
      <c r="E8" s="70" t="s">
        <v>161</v>
      </c>
      <c r="F8" s="60"/>
      <c r="G8" s="60"/>
      <c r="H8" s="60"/>
      <c r="I8" s="71" t="s">
        <v>162</v>
      </c>
      <c r="J8" s="60"/>
      <c r="K8" s="60"/>
      <c r="L8" s="60"/>
      <c r="M8" s="60"/>
    </row>
    <row r="9" ht="14.25" customHeight="1">
      <c r="A9" s="62">
        <v>7.0</v>
      </c>
      <c r="B9" s="63"/>
      <c r="C9" s="72" t="s">
        <v>163</v>
      </c>
      <c r="D9" s="72" t="s">
        <v>164</v>
      </c>
      <c r="E9" s="67" t="s">
        <v>165</v>
      </c>
      <c r="F9" s="60"/>
      <c r="G9" s="63"/>
      <c r="H9" s="63"/>
      <c r="I9" s="63" t="s">
        <v>1</v>
      </c>
      <c r="J9" s="72" t="s">
        <v>23</v>
      </c>
      <c r="K9" s="63" t="s">
        <v>166</v>
      </c>
      <c r="L9" s="63" t="s">
        <v>167</v>
      </c>
      <c r="M9" s="63" t="s">
        <v>168</v>
      </c>
      <c r="N9" s="66"/>
      <c r="O9" s="66"/>
      <c r="P9" s="66"/>
      <c r="Q9" s="66"/>
      <c r="R9" s="66"/>
      <c r="S9" s="66"/>
      <c r="T9" s="66"/>
      <c r="U9" s="66"/>
    </row>
    <row r="10" ht="14.25" customHeight="1">
      <c r="A10" s="59">
        <v>8.0</v>
      </c>
      <c r="B10" s="60"/>
      <c r="C10" s="73" t="s">
        <v>67</v>
      </c>
      <c r="D10" s="61"/>
      <c r="E10" s="74" t="s">
        <v>67</v>
      </c>
      <c r="F10" s="60"/>
      <c r="G10" s="60"/>
      <c r="H10" s="60"/>
      <c r="I10" s="59">
        <v>1.0</v>
      </c>
      <c r="J10" s="60" t="s">
        <v>169</v>
      </c>
      <c r="K10" s="59">
        <v>3.5</v>
      </c>
      <c r="L10" s="59">
        <v>6320.0</v>
      </c>
      <c r="M10" s="59">
        <f t="shared" ref="M10:M12" si="1">K10*L10</f>
        <v>22120</v>
      </c>
    </row>
    <row r="11" ht="14.25" customHeight="1">
      <c r="A11" s="59">
        <v>9.0</v>
      </c>
      <c r="B11" s="60" t="s">
        <v>170</v>
      </c>
      <c r="C11" s="61"/>
      <c r="D11" s="60"/>
      <c r="E11" s="60"/>
      <c r="F11" s="60"/>
      <c r="G11" s="60"/>
      <c r="H11" s="60"/>
      <c r="I11" s="59">
        <v>2.0</v>
      </c>
      <c r="J11" s="60" t="s">
        <v>169</v>
      </c>
      <c r="K11" s="59">
        <v>1.4</v>
      </c>
      <c r="L11" s="59">
        <v>6218.0</v>
      </c>
      <c r="M11" s="59">
        <f t="shared" si="1"/>
        <v>8705.2</v>
      </c>
    </row>
    <row r="12" ht="14.25" customHeight="1">
      <c r="A12" s="59">
        <v>10.0</v>
      </c>
      <c r="B12" s="60"/>
      <c r="C12" s="60" t="s">
        <v>69</v>
      </c>
      <c r="D12" s="68" t="s">
        <v>171</v>
      </c>
      <c r="E12" s="75" t="s">
        <v>172</v>
      </c>
      <c r="F12" s="60"/>
      <c r="G12" s="60"/>
      <c r="H12" s="60"/>
      <c r="I12" s="59">
        <v>3.0</v>
      </c>
      <c r="J12" s="60" t="s">
        <v>169</v>
      </c>
      <c r="K12" s="59">
        <v>1.23</v>
      </c>
      <c r="L12" s="59">
        <v>6410.0</v>
      </c>
      <c r="M12" s="59">
        <f t="shared" si="1"/>
        <v>7884.3</v>
      </c>
    </row>
    <row r="13" ht="14.25" customHeight="1">
      <c r="A13" s="59">
        <v>11.0</v>
      </c>
      <c r="B13" s="60"/>
      <c r="C13" s="60" t="s">
        <v>71</v>
      </c>
      <c r="D13" s="68" t="s">
        <v>173</v>
      </c>
      <c r="E13" s="75" t="s">
        <v>174</v>
      </c>
      <c r="F13" s="60"/>
      <c r="G13" s="60"/>
      <c r="H13" s="60"/>
      <c r="I13" s="76">
        <v>4.0</v>
      </c>
      <c r="J13" s="77"/>
      <c r="K13" s="78">
        <f>SUM(K10:K12)</f>
        <v>6.13</v>
      </c>
      <c r="L13" s="79">
        <f>SUM(M10:M12)/SUM(K10:K12)</f>
        <v>6314.763458</v>
      </c>
      <c r="M13" s="78">
        <f>SUM(M10:M12)</f>
        <v>38709.5</v>
      </c>
    </row>
    <row r="14" ht="14.25" customHeight="1">
      <c r="A14" s="59">
        <v>12.0</v>
      </c>
      <c r="B14" s="61"/>
      <c r="C14" s="67" t="s">
        <v>156</v>
      </c>
      <c r="D14" s="68" t="s">
        <v>175</v>
      </c>
      <c r="E14" s="75" t="s">
        <v>176</v>
      </c>
      <c r="F14" s="60"/>
      <c r="G14" s="60"/>
      <c r="H14" s="60"/>
      <c r="I14" s="60"/>
      <c r="J14" s="60"/>
      <c r="K14" s="60"/>
      <c r="L14" s="60"/>
      <c r="M14" s="60"/>
    </row>
    <row r="15" ht="14.25" customHeight="1">
      <c r="A15" s="59">
        <v>13.0</v>
      </c>
      <c r="B15" s="61"/>
      <c r="C15" s="68" t="s">
        <v>159</v>
      </c>
      <c r="D15" s="68" t="s">
        <v>177</v>
      </c>
      <c r="E15" s="70" t="s">
        <v>178</v>
      </c>
      <c r="F15" s="60"/>
      <c r="G15" s="60"/>
      <c r="H15" s="60"/>
      <c r="I15" s="59">
        <v>5.0</v>
      </c>
      <c r="J15" s="60" t="s">
        <v>179</v>
      </c>
      <c r="K15" s="59">
        <v>3.5</v>
      </c>
      <c r="L15" s="59">
        <v>8872.0</v>
      </c>
      <c r="M15" s="59">
        <f t="shared" ref="M15:M17" si="2">K15*L15</f>
        <v>31052</v>
      </c>
    </row>
    <row r="16" ht="14.25" customHeight="1">
      <c r="A16" s="59">
        <v>14.0</v>
      </c>
      <c r="B16" s="80"/>
      <c r="C16" s="80"/>
      <c r="D16" s="60"/>
      <c r="E16" s="60"/>
      <c r="F16" s="60"/>
      <c r="G16" s="60"/>
      <c r="H16" s="60"/>
      <c r="I16" s="59">
        <v>6.0</v>
      </c>
      <c r="J16" s="60" t="s">
        <v>179</v>
      </c>
      <c r="K16" s="59">
        <v>1.6</v>
      </c>
      <c r="L16" s="59">
        <v>8302.0</v>
      </c>
      <c r="M16" s="59">
        <f t="shared" si="2"/>
        <v>13283.2</v>
      </c>
    </row>
    <row r="17" ht="14.25" customHeight="1">
      <c r="A17" s="59">
        <v>15.0</v>
      </c>
      <c r="B17" s="80" t="s">
        <v>180</v>
      </c>
      <c r="C17" s="80"/>
      <c r="D17" s="60"/>
      <c r="E17" s="60"/>
      <c r="F17" s="60"/>
      <c r="G17" s="60"/>
      <c r="H17" s="60"/>
      <c r="I17" s="59">
        <v>7.0</v>
      </c>
      <c r="J17" s="60" t="s">
        <v>179</v>
      </c>
      <c r="K17" s="59">
        <v>1.23</v>
      </c>
      <c r="L17" s="59">
        <v>8172.0</v>
      </c>
      <c r="M17" s="59">
        <f t="shared" si="2"/>
        <v>10051.56</v>
      </c>
    </row>
    <row r="18" ht="14.25" customHeight="1">
      <c r="A18" s="59">
        <v>16.0</v>
      </c>
      <c r="B18" s="81" t="s">
        <v>181</v>
      </c>
      <c r="C18" s="67" t="s">
        <v>156</v>
      </c>
      <c r="D18" s="68" t="s">
        <v>157</v>
      </c>
      <c r="E18" s="60"/>
      <c r="F18" s="60"/>
      <c r="G18" s="60"/>
      <c r="H18" s="60"/>
      <c r="I18" s="76">
        <v>8.0</v>
      </c>
      <c r="J18" s="77"/>
      <c r="K18" s="78">
        <f>SUM(K15:K17)</f>
        <v>6.33</v>
      </c>
      <c r="L18" s="79">
        <f>SUM(M15:M17)/SUM(K15:K17)</f>
        <v>8591.905213</v>
      </c>
      <c r="M18" s="78">
        <f>SUm(M15:M17)</f>
        <v>54386.76</v>
      </c>
    </row>
    <row r="19" ht="14.25" customHeight="1">
      <c r="A19" s="59">
        <v>17.0</v>
      </c>
      <c r="B19" s="81" t="s">
        <v>181</v>
      </c>
      <c r="C19" s="68" t="s">
        <v>159</v>
      </c>
      <c r="D19" s="68" t="s">
        <v>177</v>
      </c>
      <c r="E19" s="60"/>
      <c r="F19" s="60"/>
      <c r="G19" s="60"/>
      <c r="H19" s="60"/>
      <c r="I19" s="60"/>
      <c r="J19" s="60"/>
      <c r="K19" s="60"/>
      <c r="L19" s="60"/>
      <c r="M19" s="60"/>
    </row>
    <row r="20" ht="14.25" customHeight="1">
      <c r="A20" s="60"/>
      <c r="B20" s="60"/>
      <c r="C20" s="60"/>
      <c r="D20" s="60"/>
      <c r="E20" s="60"/>
      <c r="F20" s="60"/>
      <c r="G20" s="60"/>
      <c r="H20" s="60"/>
      <c r="I20" s="60"/>
      <c r="J20" s="60"/>
      <c r="K20" s="60"/>
      <c r="L20" s="60"/>
      <c r="M20" s="60"/>
    </row>
    <row r="21" ht="14.25" customHeight="1">
      <c r="A21" s="60"/>
      <c r="B21" s="60" t="s">
        <v>182</v>
      </c>
      <c r="C21" s="60"/>
      <c r="D21" s="60"/>
      <c r="E21" s="60"/>
      <c r="F21" s="60"/>
      <c r="G21" s="60"/>
      <c r="H21" s="60"/>
      <c r="I21" s="60"/>
      <c r="J21" s="60"/>
      <c r="K21" s="60"/>
      <c r="L21" s="60"/>
      <c r="M21" s="60"/>
    </row>
    <row r="22" ht="14.25" customHeight="1">
      <c r="A22" s="60"/>
      <c r="B22" s="60"/>
      <c r="C22" s="60"/>
      <c r="D22" s="60"/>
      <c r="E22" s="60"/>
      <c r="F22" s="60"/>
      <c r="G22" s="60"/>
      <c r="H22" s="60"/>
      <c r="I22" s="60"/>
      <c r="J22" s="60"/>
      <c r="K22" s="60"/>
      <c r="L22" s="60"/>
      <c r="M22" s="60"/>
    </row>
    <row r="23" ht="14.25" customHeight="1">
      <c r="A23" s="60"/>
      <c r="B23" s="60"/>
      <c r="C23" s="60"/>
      <c r="D23" s="60"/>
      <c r="E23" s="60"/>
      <c r="F23" s="60"/>
      <c r="G23" s="60"/>
      <c r="H23" s="60"/>
      <c r="I23" s="71" t="s">
        <v>183</v>
      </c>
      <c r="J23" s="60"/>
      <c r="K23" s="60"/>
      <c r="L23" s="60"/>
      <c r="M23" s="60"/>
    </row>
    <row r="24" ht="14.25" customHeight="1">
      <c r="A24" s="60"/>
      <c r="B24" s="60"/>
      <c r="C24" s="60"/>
      <c r="D24" s="60"/>
      <c r="E24" s="60"/>
      <c r="F24" s="60"/>
      <c r="G24" s="60"/>
      <c r="H24" s="60"/>
      <c r="I24" s="76">
        <v>1.0</v>
      </c>
      <c r="J24" s="81" t="s">
        <v>169</v>
      </c>
      <c r="K24" s="78">
        <v>6.130000000000001</v>
      </c>
      <c r="L24" s="79">
        <v>6314.763458401304</v>
      </c>
      <c r="M24" s="78">
        <v>38709.5</v>
      </c>
    </row>
    <row r="25" ht="14.25" customHeight="1">
      <c r="A25" s="61"/>
      <c r="B25" s="60" t="s">
        <v>184</v>
      </c>
      <c r="G25" s="61"/>
      <c r="H25" s="61"/>
      <c r="I25" s="76">
        <v>2.0</v>
      </c>
      <c r="J25" s="81" t="s">
        <v>179</v>
      </c>
      <c r="K25" s="78">
        <v>6.33</v>
      </c>
      <c r="L25" s="79">
        <v>8591.905213270142</v>
      </c>
      <c r="M25" s="78">
        <v>54386.759999999995</v>
      </c>
    </row>
    <row r="26" ht="14.25" customHeight="1">
      <c r="A26" s="61"/>
      <c r="B26" s="60"/>
      <c r="C26" s="67" t="s">
        <v>185</v>
      </c>
      <c r="D26" s="61"/>
      <c r="E26" s="73" t="s">
        <v>186</v>
      </c>
      <c r="F26" s="73" t="s">
        <v>46</v>
      </c>
      <c r="G26" s="61"/>
      <c r="H26" s="61"/>
      <c r="I26" s="61"/>
      <c r="J26" s="61"/>
      <c r="K26" s="61"/>
      <c r="L26" s="61"/>
      <c r="M26" s="61"/>
    </row>
    <row r="27" ht="14.25" customHeight="1">
      <c r="A27" s="61"/>
      <c r="B27" s="60"/>
      <c r="C27" s="67" t="s">
        <v>187</v>
      </c>
      <c r="D27" s="61"/>
      <c r="E27" s="73" t="s">
        <v>186</v>
      </c>
      <c r="F27" s="73" t="s">
        <v>46</v>
      </c>
      <c r="G27" s="61"/>
      <c r="H27" s="61"/>
      <c r="I27" s="61"/>
      <c r="J27" s="61"/>
      <c r="K27" s="61"/>
      <c r="L27" s="61"/>
      <c r="M27" s="61"/>
    </row>
    <row r="28" ht="14.25" customHeight="1">
      <c r="A28" s="61"/>
      <c r="B28" s="60"/>
      <c r="C28" s="67" t="s">
        <v>188</v>
      </c>
      <c r="D28" s="73"/>
      <c r="E28" s="61"/>
      <c r="F28" s="61"/>
      <c r="G28" s="61"/>
      <c r="H28" s="61"/>
      <c r="I28" s="61"/>
      <c r="J28" s="61"/>
      <c r="K28" s="61"/>
      <c r="L28" s="61"/>
      <c r="M28" s="61"/>
    </row>
    <row r="29" ht="14.25" customHeight="1">
      <c r="A29" s="61"/>
      <c r="B29" s="60"/>
      <c r="E29" s="61"/>
      <c r="F29" s="61"/>
      <c r="G29" s="61"/>
      <c r="H29" s="61"/>
      <c r="I29" s="61"/>
      <c r="J29" s="61"/>
      <c r="K29" s="61"/>
      <c r="L29" s="61"/>
      <c r="M29" s="61"/>
    </row>
    <row r="30" ht="14.25" customHeight="1">
      <c r="A30" s="61"/>
      <c r="B30" s="60"/>
      <c r="C30" s="73"/>
      <c r="D30" s="73"/>
      <c r="E30" s="61"/>
      <c r="F30" s="61"/>
      <c r="G30" s="61"/>
      <c r="H30" s="61"/>
      <c r="I30" s="61"/>
      <c r="J30" s="61"/>
      <c r="K30" s="61"/>
      <c r="L30" s="61"/>
      <c r="M30" s="61"/>
    </row>
    <row r="31" ht="14.25" customHeight="1">
      <c r="C31" s="73" t="s">
        <v>189</v>
      </c>
      <c r="D31" s="73" t="s">
        <v>190</v>
      </c>
      <c r="E31" s="73" t="s">
        <v>57</v>
      </c>
    </row>
    <row r="32" ht="14.25" customHeight="1">
      <c r="B32" s="82" t="s">
        <v>191</v>
      </c>
      <c r="C32" s="83" t="s">
        <v>192</v>
      </c>
      <c r="D32" s="83" t="s">
        <v>193</v>
      </c>
      <c r="E32" s="83" t="s">
        <v>57</v>
      </c>
      <c r="F32" s="19" t="s">
        <v>46</v>
      </c>
    </row>
    <row r="33" ht="14.25" customHeight="1">
      <c r="C33" s="83" t="s">
        <v>194</v>
      </c>
      <c r="D33" s="83" t="s">
        <v>195</v>
      </c>
      <c r="E33" s="83" t="s">
        <v>57</v>
      </c>
    </row>
    <row r="34" ht="14.25" customHeight="1">
      <c r="C34" s="84" t="s">
        <v>196</v>
      </c>
      <c r="D34" s="83" t="s">
        <v>193</v>
      </c>
      <c r="E34" s="83" t="s">
        <v>186</v>
      </c>
      <c r="F34" s="73" t="s">
        <v>46</v>
      </c>
    </row>
    <row r="35" ht="14.25" customHeight="1">
      <c r="C35" s="83" t="s">
        <v>197</v>
      </c>
      <c r="D35" s="83" t="s">
        <v>198</v>
      </c>
      <c r="E35" s="85"/>
    </row>
    <row r="36" ht="14.25" customHeight="1">
      <c r="E36" s="66"/>
    </row>
    <row r="37" ht="14.25" customHeight="1">
      <c r="C37" s="73" t="s">
        <v>199</v>
      </c>
      <c r="D37" s="86" t="s">
        <v>200</v>
      </c>
      <c r="E37" s="86" t="s">
        <v>201</v>
      </c>
    </row>
    <row r="38" ht="14.25" customHeight="1">
      <c r="C38" s="73"/>
      <c r="D38" s="73" t="s">
        <v>202</v>
      </c>
      <c r="E38" s="73" t="s">
        <v>46</v>
      </c>
    </row>
    <row r="39" ht="14.25" customHeight="1">
      <c r="C39" s="73"/>
      <c r="D39" s="86" t="s">
        <v>203</v>
      </c>
      <c r="E39" s="86" t="s">
        <v>201</v>
      </c>
    </row>
    <row r="40" ht="14.25" customHeight="1">
      <c r="C40" s="73"/>
      <c r="D40" s="73" t="s">
        <v>204</v>
      </c>
      <c r="E40" s="73" t="s">
        <v>46</v>
      </c>
    </row>
    <row r="41" ht="14.25" customHeight="1">
      <c r="C41" s="73" t="s">
        <v>205</v>
      </c>
      <c r="D41" s="86" t="s">
        <v>206</v>
      </c>
      <c r="E41" s="86" t="s">
        <v>201</v>
      </c>
    </row>
    <row r="42" ht="14.25" customHeight="1">
      <c r="C42" s="73"/>
      <c r="D42" s="73" t="s">
        <v>207</v>
      </c>
      <c r="E42" s="73" t="s">
        <v>46</v>
      </c>
    </row>
    <row r="43" ht="14.25" customHeight="1">
      <c r="C43" s="73"/>
      <c r="D43" s="86" t="s">
        <v>208</v>
      </c>
      <c r="E43" s="86" t="s">
        <v>201</v>
      </c>
    </row>
    <row r="44" ht="14.25" customHeight="1">
      <c r="C44" s="73"/>
      <c r="D44" s="73" t="s">
        <v>209</v>
      </c>
      <c r="E44" s="73" t="s">
        <v>46</v>
      </c>
    </row>
    <row r="45" ht="14.25" customHeight="1"/>
    <row r="46" ht="14.25" customHeight="1"/>
    <row r="47" ht="14.25" customHeight="1"/>
    <row r="48" ht="14.25" customHeight="1"/>
    <row r="49" ht="14.25" customHeight="1">
      <c r="B49" s="87">
        <v>45750.0</v>
      </c>
    </row>
    <row r="50" ht="14.25" customHeight="1">
      <c r="B50" s="19" t="s">
        <v>210</v>
      </c>
      <c r="C50" s="19" t="s">
        <v>211</v>
      </c>
    </row>
    <row r="51" ht="14.25" customHeight="1">
      <c r="C51" s="19" t="s">
        <v>112</v>
      </c>
      <c r="D51" s="19" t="s">
        <v>212</v>
      </c>
      <c r="E51" s="19" t="s">
        <v>213</v>
      </c>
    </row>
    <row r="52" ht="14.25" customHeight="1"/>
    <row r="53" ht="14.25" customHeight="1"/>
    <row r="54" ht="14.25" customHeight="1">
      <c r="B54" s="19" t="s">
        <v>214</v>
      </c>
      <c r="C54" s="19" t="s">
        <v>215</v>
      </c>
      <c r="E54" s="88" t="s">
        <v>216</v>
      </c>
    </row>
    <row r="55" ht="14.25" customHeight="1">
      <c r="C55" s="19" t="s">
        <v>217</v>
      </c>
    </row>
    <row r="56" ht="14.25" customHeight="1">
      <c r="C56" s="19" t="s">
        <v>218</v>
      </c>
      <c r="E56" s="89" t="s">
        <v>155</v>
      </c>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G1"/>
    <mergeCell ref="B32:B35"/>
    <mergeCell ref="E54:E55"/>
  </mergeCells>
  <dataValidations>
    <dataValidation type="list" allowBlank="1" sqref="G3:G24">
      <formula1>"Not started,In progress,Blocked,Completed"</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7.57"/>
    <col customWidth="1" min="3" max="3" width="38.86"/>
    <col customWidth="1" min="4" max="4" width="61.0"/>
    <col customWidth="1" min="5" max="5" width="41.0"/>
    <col customWidth="1" min="6" max="6" width="25.14"/>
  </cols>
  <sheetData>
    <row r="1">
      <c r="A1" s="39">
        <v>1.0</v>
      </c>
      <c r="B1" s="40" t="s">
        <v>219</v>
      </c>
    </row>
    <row r="2">
      <c r="B2" s="19" t="s">
        <v>220</v>
      </c>
    </row>
    <row r="3">
      <c r="A3" s="42"/>
      <c r="B3" s="43" t="s">
        <v>221</v>
      </c>
    </row>
    <row r="4" ht="15.75" customHeight="1"/>
    <row r="5" ht="15.75" customHeight="1">
      <c r="A5" s="39">
        <v>2.0</v>
      </c>
      <c r="B5" s="40" t="s">
        <v>222</v>
      </c>
    </row>
    <row r="6" ht="15.75" customHeight="1">
      <c r="B6" s="90" t="s">
        <v>223</v>
      </c>
      <c r="C6" s="91"/>
      <c r="D6" s="91"/>
      <c r="E6" s="47"/>
      <c r="F6" s="47"/>
    </row>
    <row r="7" ht="15.75" customHeight="1">
      <c r="B7" s="46" t="s">
        <v>1</v>
      </c>
      <c r="C7" s="91" t="s">
        <v>224</v>
      </c>
      <c r="D7" s="91" t="s">
        <v>225</v>
      </c>
      <c r="E7" s="47" t="s">
        <v>7</v>
      </c>
      <c r="F7" s="47"/>
    </row>
    <row r="8" ht="15.75" customHeight="1">
      <c r="B8" s="48">
        <v>1.0</v>
      </c>
      <c r="C8" s="48"/>
      <c r="D8" s="51"/>
      <c r="E8" s="48"/>
      <c r="F8" s="47"/>
    </row>
    <row r="9" ht="15.75" customHeight="1">
      <c r="B9" s="48">
        <v>2.0</v>
      </c>
      <c r="C9" s="52"/>
      <c r="D9" s="51"/>
      <c r="E9" s="48"/>
      <c r="F9" s="47"/>
    </row>
    <row r="10" ht="15.75" customHeight="1"/>
    <row r="11" ht="15.75" customHeight="1"/>
    <row r="12" ht="15.75" customHeight="1"/>
    <row r="13" ht="15.75" customHeight="1">
      <c r="A13" s="40">
        <v>3.0</v>
      </c>
      <c r="B13" s="39" t="s">
        <v>129</v>
      </c>
    </row>
    <row r="14" ht="15.75" customHeight="1"/>
    <row r="15" ht="15.75" customHeight="1">
      <c r="B15" s="46" t="s">
        <v>1</v>
      </c>
      <c r="C15" s="47" t="s">
        <v>130</v>
      </c>
      <c r="D15" s="47" t="s">
        <v>131</v>
      </c>
      <c r="E15" s="47" t="s">
        <v>7</v>
      </c>
    </row>
    <row r="16" ht="15.75" customHeight="1">
      <c r="B16" s="48">
        <v>1.0</v>
      </c>
      <c r="C16" s="48" t="s">
        <v>132</v>
      </c>
      <c r="D16" s="50" t="s">
        <v>226</v>
      </c>
      <c r="E16" s="48"/>
    </row>
    <row r="17" ht="15.75" customHeight="1">
      <c r="B17" s="48">
        <v>2.0</v>
      </c>
      <c r="C17" s="52" t="s">
        <v>133</v>
      </c>
      <c r="D17" s="50" t="s">
        <v>227</v>
      </c>
      <c r="E17" s="48"/>
    </row>
    <row r="18" ht="15.75" customHeight="1">
      <c r="B18" s="48">
        <v>3.0</v>
      </c>
      <c r="C18" s="52" t="s">
        <v>228</v>
      </c>
      <c r="D18" s="50" t="s">
        <v>229</v>
      </c>
      <c r="E18" s="48"/>
    </row>
    <row r="19" ht="15.75" customHeight="1">
      <c r="B19" s="48">
        <v>4.0</v>
      </c>
      <c r="C19" s="52" t="s">
        <v>230</v>
      </c>
      <c r="D19" s="50" t="s">
        <v>231</v>
      </c>
      <c r="E19" s="48"/>
    </row>
    <row r="20" ht="15.75" customHeight="1">
      <c r="B20" s="48">
        <v>5.0</v>
      </c>
      <c r="C20" s="10" t="s">
        <v>232</v>
      </c>
      <c r="D20" s="92" t="s">
        <v>233</v>
      </c>
      <c r="E20" s="48"/>
    </row>
    <row r="21" ht="15.75" customHeight="1">
      <c r="B21" s="48">
        <v>6.0</v>
      </c>
      <c r="C21" s="52" t="s">
        <v>30</v>
      </c>
      <c r="D21" s="50" t="s">
        <v>234</v>
      </c>
      <c r="E21" s="48"/>
    </row>
    <row r="22" ht="15.75" customHeight="1">
      <c r="B22" s="48">
        <v>7.0</v>
      </c>
      <c r="C22" s="52" t="s">
        <v>235</v>
      </c>
      <c r="D22" s="50" t="s">
        <v>236</v>
      </c>
      <c r="E22" s="48"/>
    </row>
    <row r="23" ht="15.75" customHeight="1">
      <c r="B23" s="48">
        <v>8.0</v>
      </c>
      <c r="C23" s="19" t="s">
        <v>237</v>
      </c>
      <c r="D23" s="50" t="s">
        <v>238</v>
      </c>
      <c r="E23" s="48"/>
    </row>
    <row r="24" ht="15.75" customHeight="1">
      <c r="B24" s="48">
        <v>9.0</v>
      </c>
      <c r="C24" s="52" t="s">
        <v>239</v>
      </c>
      <c r="D24" s="50"/>
      <c r="E24" s="48"/>
    </row>
    <row r="25" ht="15.75" customHeight="1">
      <c r="B25" s="48">
        <v>10.0</v>
      </c>
      <c r="C25" s="52" t="s">
        <v>240</v>
      </c>
      <c r="D25" s="50" t="s">
        <v>241</v>
      </c>
      <c r="E25" s="48"/>
    </row>
    <row r="26" ht="15.75" customHeight="1">
      <c r="B26" s="19">
        <v>11.0</v>
      </c>
      <c r="C26" s="19" t="s">
        <v>242</v>
      </c>
      <c r="D26" s="50"/>
      <c r="E26" s="48"/>
    </row>
    <row r="27" ht="15.75" customHeight="1">
      <c r="B27" s="52">
        <v>12.0</v>
      </c>
      <c r="C27" s="19" t="s">
        <v>243</v>
      </c>
      <c r="D27" s="50"/>
      <c r="E27" s="48"/>
    </row>
    <row r="28" ht="15.75" customHeight="1">
      <c r="B28" s="52">
        <v>13.0</v>
      </c>
      <c r="C28" s="52" t="s">
        <v>244</v>
      </c>
      <c r="D28" s="50" t="s">
        <v>245</v>
      </c>
      <c r="E28" s="48"/>
    </row>
    <row r="29" ht="15.75" customHeight="1">
      <c r="B29" s="52">
        <v>14.0</v>
      </c>
      <c r="C29" s="52" t="s">
        <v>246</v>
      </c>
      <c r="D29" s="51" t="s">
        <v>247</v>
      </c>
      <c r="E29" s="48"/>
    </row>
    <row r="30" ht="15.75" customHeight="1">
      <c r="B30" s="52">
        <v>15.0</v>
      </c>
      <c r="C30" s="52" t="s">
        <v>248</v>
      </c>
      <c r="D30" s="51" t="s">
        <v>249</v>
      </c>
      <c r="E30" s="48"/>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c r="B2" s="16" t="s">
        <v>250</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c r="B33" s="19" t="s">
        <v>251</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31.57"/>
    <col customWidth="1" min="3" max="3" width="54.43"/>
    <col customWidth="1" min="4" max="4" width="38.43"/>
    <col customWidth="1" min="5" max="18" width="8.71"/>
  </cols>
  <sheetData>
    <row r="1">
      <c r="A1" s="2" t="s">
        <v>252</v>
      </c>
    </row>
    <row r="2" ht="14.25" customHeight="1">
      <c r="A2" s="3" t="s">
        <v>1</v>
      </c>
      <c r="B2" s="4" t="s">
        <v>253</v>
      </c>
      <c r="C2" s="4" t="s">
        <v>3</v>
      </c>
      <c r="D2" s="3" t="s">
        <v>7</v>
      </c>
      <c r="E2" s="6"/>
      <c r="F2" s="6"/>
      <c r="G2" s="6"/>
      <c r="H2" s="6"/>
      <c r="I2" s="6"/>
      <c r="J2" s="6"/>
      <c r="K2" s="6"/>
      <c r="L2" s="6"/>
      <c r="M2" s="6"/>
      <c r="N2" s="6"/>
      <c r="O2" s="6"/>
      <c r="P2" s="6"/>
      <c r="Q2" s="6"/>
      <c r="R2" s="6"/>
    </row>
    <row r="3" ht="14.25" customHeight="1">
      <c r="A3" s="7">
        <f t="array" ref="A3:A32">SEQUENCE(30,1)</f>
        <v>1</v>
      </c>
      <c r="B3" s="12" t="s">
        <v>15</v>
      </c>
      <c r="C3" s="9"/>
      <c r="D3" s="9"/>
    </row>
    <row r="4" ht="14.25" customHeight="1">
      <c r="A4" s="7">
        <v>2.0</v>
      </c>
      <c r="B4" s="13" t="s">
        <v>16</v>
      </c>
      <c r="C4" s="9"/>
      <c r="D4" s="9"/>
    </row>
    <row r="5" ht="14.25" customHeight="1">
      <c r="A5" s="7">
        <v>3.0</v>
      </c>
      <c r="B5" s="12" t="s">
        <v>17</v>
      </c>
      <c r="C5" s="9"/>
      <c r="D5" s="9"/>
    </row>
    <row r="6" ht="14.25" customHeight="1">
      <c r="A6" s="7">
        <v>4.0</v>
      </c>
      <c r="B6" s="14" t="s">
        <v>19</v>
      </c>
      <c r="C6" s="9"/>
      <c r="D6" s="9"/>
    </row>
    <row r="7" ht="14.25" customHeight="1">
      <c r="A7" s="7">
        <v>5.0</v>
      </c>
      <c r="B7" s="12" t="s">
        <v>20</v>
      </c>
      <c r="C7" s="9"/>
      <c r="D7" s="9"/>
    </row>
    <row r="8" ht="14.25" customHeight="1">
      <c r="A8" s="7">
        <v>6.0</v>
      </c>
      <c r="B8" s="12" t="s">
        <v>21</v>
      </c>
      <c r="C8" s="9"/>
      <c r="D8" s="9"/>
    </row>
    <row r="9" ht="14.25" customHeight="1">
      <c r="A9" s="7">
        <v>7.0</v>
      </c>
      <c r="B9" s="15" t="s">
        <v>26</v>
      </c>
      <c r="C9" s="9"/>
      <c r="D9" s="9"/>
    </row>
    <row r="10" ht="14.25" customHeight="1">
      <c r="A10" s="7">
        <v>8.0</v>
      </c>
      <c r="B10" s="12" t="s">
        <v>30</v>
      </c>
      <c r="C10" s="9"/>
      <c r="D10" s="9"/>
    </row>
    <row r="11" ht="14.25" customHeight="1">
      <c r="A11" s="7">
        <v>9.0</v>
      </c>
      <c r="B11" s="12" t="s">
        <v>31</v>
      </c>
      <c r="C11" s="9"/>
      <c r="D11" s="9"/>
    </row>
    <row r="12" ht="14.25" customHeight="1">
      <c r="A12" s="7">
        <v>10.0</v>
      </c>
      <c r="B12" s="12" t="s">
        <v>22</v>
      </c>
      <c r="C12" s="9"/>
      <c r="D12" s="9"/>
    </row>
    <row r="13" ht="14.25" customHeight="1">
      <c r="A13" s="7">
        <v>11.0</v>
      </c>
      <c r="B13" s="12" t="s">
        <v>27</v>
      </c>
      <c r="C13" s="9"/>
      <c r="D13" s="9"/>
    </row>
    <row r="14" ht="14.25" customHeight="1">
      <c r="A14" s="7">
        <v>12.0</v>
      </c>
      <c r="B14" s="12" t="s">
        <v>29</v>
      </c>
      <c r="C14" s="9"/>
      <c r="D14" s="9"/>
    </row>
    <row r="15" ht="14.25" customHeight="1">
      <c r="A15" s="7">
        <v>13.0</v>
      </c>
      <c r="B15" s="12" t="s">
        <v>111</v>
      </c>
      <c r="C15" s="9"/>
      <c r="D15" s="9"/>
    </row>
    <row r="16" ht="14.25" customHeight="1">
      <c r="A16" s="7">
        <v>14.0</v>
      </c>
      <c r="B16" s="15" t="s">
        <v>34</v>
      </c>
      <c r="C16" s="9"/>
      <c r="D16" s="9"/>
    </row>
    <row r="17" ht="14.25" customHeight="1">
      <c r="A17" s="7">
        <v>15.0</v>
      </c>
      <c r="B17" s="15" t="s">
        <v>39</v>
      </c>
      <c r="C17" s="9"/>
      <c r="D17" s="9"/>
    </row>
    <row r="18" ht="14.25" customHeight="1">
      <c r="A18" s="7">
        <v>16.0</v>
      </c>
      <c r="B18" s="11" t="s">
        <v>42</v>
      </c>
      <c r="C18" s="9"/>
      <c r="D18" s="9"/>
    </row>
    <row r="19" ht="14.25" customHeight="1">
      <c r="A19" s="7">
        <v>17.0</v>
      </c>
      <c r="B19" s="12" t="s">
        <v>45</v>
      </c>
      <c r="C19" s="9"/>
      <c r="D19" s="9"/>
    </row>
    <row r="20" ht="14.25" customHeight="1">
      <c r="A20" s="7">
        <v>18.0</v>
      </c>
      <c r="B20" s="12" t="s">
        <v>254</v>
      </c>
      <c r="C20" s="9"/>
      <c r="D20" s="9"/>
    </row>
    <row r="21" ht="14.25" customHeight="1">
      <c r="A21" s="7">
        <v>19.0</v>
      </c>
      <c r="B21" s="15" t="s">
        <v>255</v>
      </c>
      <c r="C21" s="9"/>
    </row>
    <row r="22" ht="14.25" customHeight="1">
      <c r="A22" s="16">
        <v>20.0</v>
      </c>
      <c r="B22" s="12"/>
      <c r="C22" s="9"/>
    </row>
    <row r="23" ht="14.25" customHeight="1">
      <c r="A23" s="16">
        <v>21.0</v>
      </c>
      <c r="B23" s="12"/>
      <c r="C23" s="9"/>
    </row>
    <row r="24" ht="14.25" customHeight="1">
      <c r="A24" s="16">
        <v>22.0</v>
      </c>
      <c r="C24" s="9"/>
    </row>
    <row r="25" ht="14.25" customHeight="1">
      <c r="A25" s="16">
        <v>23.0</v>
      </c>
      <c r="C25" s="9"/>
    </row>
    <row r="26" ht="14.25" customHeight="1">
      <c r="A26" s="16">
        <v>24.0</v>
      </c>
      <c r="C26" s="9"/>
    </row>
    <row r="27" ht="14.25" customHeight="1">
      <c r="A27" s="16">
        <v>25.0</v>
      </c>
      <c r="C27" s="9"/>
    </row>
    <row r="28" ht="14.25" customHeight="1">
      <c r="A28" s="16">
        <v>26.0</v>
      </c>
      <c r="C28" s="9"/>
    </row>
    <row r="29" ht="14.25" customHeight="1">
      <c r="A29" s="16">
        <v>27.0</v>
      </c>
      <c r="C29" s="9"/>
    </row>
    <row r="30" ht="14.25" customHeight="1">
      <c r="A30" s="16">
        <v>28.0</v>
      </c>
      <c r="C30" s="9"/>
    </row>
    <row r="31" ht="14.25" customHeight="1">
      <c r="A31" s="16">
        <v>29.0</v>
      </c>
      <c r="C31" s="9"/>
    </row>
    <row r="32" ht="14.25" customHeight="1">
      <c r="A32" s="16">
        <v>30.0</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D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7.57"/>
    <col customWidth="1" min="3" max="3" width="29.86"/>
    <col customWidth="1" min="4" max="4" width="61.0"/>
    <col customWidth="1" min="5" max="5" width="41.0"/>
    <col customWidth="1" min="6" max="6" width="9.14"/>
  </cols>
  <sheetData>
    <row r="1">
      <c r="A1" s="39">
        <v>1.0</v>
      </c>
      <c r="B1" s="40" t="s">
        <v>256</v>
      </c>
    </row>
    <row r="3">
      <c r="A3" s="93"/>
    </row>
    <row r="5">
      <c r="A5" s="94"/>
    </row>
    <row r="6">
      <c r="A6" s="95"/>
    </row>
    <row r="7">
      <c r="A7" s="95"/>
    </row>
    <row r="8">
      <c r="A8" s="95"/>
    </row>
    <row r="10">
      <c r="G10" s="96">
        <v>1.0</v>
      </c>
    </row>
    <row r="11">
      <c r="A11" s="97"/>
    </row>
    <row r="12">
      <c r="A12" s="95"/>
    </row>
    <row r="13">
      <c r="A13" s="95"/>
    </row>
    <row r="14">
      <c r="A14" s="95"/>
    </row>
    <row r="15">
      <c r="A15" s="95"/>
    </row>
    <row r="16">
      <c r="A16" s="95"/>
    </row>
    <row r="19">
      <c r="A19" s="39"/>
      <c r="B19" s="39"/>
    </row>
    <row r="20">
      <c r="A20" s="42"/>
      <c r="B20" s="42"/>
    </row>
    <row r="21" ht="15.75" customHeight="1"/>
    <row r="22" ht="15.75" customHeight="1">
      <c r="A22" s="39">
        <v>2.0</v>
      </c>
      <c r="B22" s="39" t="s">
        <v>129</v>
      </c>
    </row>
    <row r="23" ht="15.75" customHeight="1"/>
    <row r="24" ht="15.75" customHeight="1">
      <c r="B24" s="46" t="s">
        <v>1</v>
      </c>
      <c r="C24" s="47" t="s">
        <v>130</v>
      </c>
      <c r="D24" s="47" t="s">
        <v>131</v>
      </c>
      <c r="E24" s="47" t="s">
        <v>7</v>
      </c>
    </row>
    <row r="25" ht="15.75" customHeight="1">
      <c r="B25" s="48">
        <v>1.0</v>
      </c>
      <c r="C25" s="52" t="s">
        <v>8</v>
      </c>
      <c r="D25" s="51" t="s">
        <v>257</v>
      </c>
      <c r="E25" s="48"/>
    </row>
    <row r="26" ht="15.75" customHeight="1">
      <c r="B26" s="48">
        <v>2.0</v>
      </c>
      <c r="C26" s="48" t="s">
        <v>258</v>
      </c>
      <c r="D26" s="51" t="s">
        <v>259</v>
      </c>
      <c r="E26" s="48"/>
    </row>
    <row r="27" ht="15.75" customHeight="1">
      <c r="B27" s="52">
        <v>3.0</v>
      </c>
      <c r="C27" s="52" t="s">
        <v>260</v>
      </c>
      <c r="D27" s="51"/>
      <c r="E27" s="48"/>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7.57"/>
    <col customWidth="1" min="3" max="3" width="29.86"/>
    <col customWidth="1" min="4" max="4" width="61.0"/>
    <col customWidth="1" min="5" max="5" width="41.0"/>
    <col customWidth="1" min="6" max="6" width="9.14"/>
  </cols>
  <sheetData>
    <row r="1">
      <c r="A1" s="39">
        <v>1.0</v>
      </c>
      <c r="B1" s="40" t="s">
        <v>261</v>
      </c>
    </row>
    <row r="3">
      <c r="A3" s="93"/>
    </row>
    <row r="5">
      <c r="A5" s="94"/>
    </row>
    <row r="6">
      <c r="A6" s="95"/>
    </row>
    <row r="7">
      <c r="A7" s="95"/>
    </row>
    <row r="8">
      <c r="A8" s="95"/>
    </row>
    <row r="10">
      <c r="G10" s="96">
        <v>1.0</v>
      </c>
    </row>
    <row r="11">
      <c r="A11" s="97"/>
    </row>
    <row r="12">
      <c r="A12" s="95"/>
    </row>
    <row r="13">
      <c r="A13" s="95"/>
    </row>
    <row r="14">
      <c r="A14" s="95"/>
    </row>
    <row r="15">
      <c r="A15" s="95"/>
    </row>
    <row r="16">
      <c r="A16" s="95"/>
    </row>
    <row r="19">
      <c r="A19" s="39"/>
      <c r="B19" s="39"/>
    </row>
    <row r="20">
      <c r="A20" s="42"/>
      <c r="B20" s="42"/>
    </row>
    <row r="21" ht="15.75" customHeight="1"/>
    <row r="22" ht="15.75" customHeight="1"/>
    <row r="23" ht="15.75" customHeight="1"/>
    <row r="24" ht="15.75" customHeight="1"/>
    <row r="25" ht="15.75" customHeight="1"/>
    <row r="26" ht="15.75" customHeight="1">
      <c r="A26" s="39">
        <v>2.0</v>
      </c>
      <c r="B26" s="39" t="s">
        <v>129</v>
      </c>
    </row>
    <row r="27" ht="15.75" customHeight="1"/>
    <row r="28" ht="15.75" customHeight="1">
      <c r="B28" s="46" t="s">
        <v>1</v>
      </c>
      <c r="C28" s="47" t="s">
        <v>130</v>
      </c>
      <c r="D28" s="47" t="s">
        <v>131</v>
      </c>
      <c r="E28" s="47" t="s">
        <v>7</v>
      </c>
    </row>
    <row r="29" ht="15.75" customHeight="1">
      <c r="B29" s="48">
        <v>1.0</v>
      </c>
      <c r="C29" s="48" t="s">
        <v>132</v>
      </c>
      <c r="D29" s="51" t="s">
        <v>262</v>
      </c>
      <c r="E29" s="48"/>
    </row>
    <row r="30" ht="15.75" customHeight="1">
      <c r="B30" s="48">
        <v>2.0</v>
      </c>
      <c r="C30" s="48" t="s">
        <v>263</v>
      </c>
      <c r="D30" s="51" t="s">
        <v>264</v>
      </c>
      <c r="E30" s="48"/>
    </row>
    <row r="31" ht="15.75" customHeight="1">
      <c r="B31" s="48">
        <v>3.0</v>
      </c>
      <c r="C31" s="48" t="s">
        <v>265</v>
      </c>
      <c r="D31" s="51" t="s">
        <v>266</v>
      </c>
      <c r="E31" s="48"/>
    </row>
    <row r="32" ht="15.75" customHeight="1">
      <c r="B32" s="48">
        <v>4.0</v>
      </c>
      <c r="C32" s="48" t="s">
        <v>267</v>
      </c>
      <c r="D32" s="51" t="s">
        <v>268</v>
      </c>
      <c r="E32" s="48"/>
    </row>
    <row r="33" ht="15.75" customHeight="1">
      <c r="B33" s="48">
        <v>5.0</v>
      </c>
      <c r="C33" s="48" t="s">
        <v>235</v>
      </c>
      <c r="D33" s="51" t="s">
        <v>269</v>
      </c>
      <c r="E33" s="48"/>
    </row>
    <row r="34" ht="15.75" customHeight="1">
      <c r="B34" s="48">
        <v>6.0</v>
      </c>
      <c r="C34" s="48" t="s">
        <v>270</v>
      </c>
      <c r="D34" s="49" t="s">
        <v>271</v>
      </c>
      <c r="E34" s="48"/>
    </row>
    <row r="35" ht="15.75" customHeight="1">
      <c r="B35" s="48">
        <v>7.0</v>
      </c>
      <c r="C35" s="48" t="s">
        <v>258</v>
      </c>
      <c r="D35" s="51" t="s">
        <v>272</v>
      </c>
      <c r="E35" s="48"/>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7.57"/>
    <col customWidth="1" min="3" max="3" width="29.86"/>
    <col customWidth="1" min="4" max="4" width="61.0"/>
    <col customWidth="1" min="5" max="5" width="41.0"/>
    <col customWidth="1" min="6" max="6" width="9.14"/>
  </cols>
  <sheetData>
    <row r="1">
      <c r="A1" s="39">
        <v>1.0</v>
      </c>
      <c r="B1" s="40" t="s">
        <v>273</v>
      </c>
    </row>
    <row r="3">
      <c r="A3" s="93"/>
    </row>
    <row r="5">
      <c r="A5" s="94"/>
    </row>
    <row r="6">
      <c r="A6" s="95"/>
    </row>
    <row r="7">
      <c r="A7" s="95"/>
    </row>
    <row r="8">
      <c r="A8" s="95"/>
    </row>
    <row r="10">
      <c r="G10" s="96">
        <v>1.0</v>
      </c>
    </row>
    <row r="11">
      <c r="A11" s="97"/>
    </row>
    <row r="12">
      <c r="A12" s="95"/>
    </row>
    <row r="13">
      <c r="A13" s="95"/>
    </row>
    <row r="14">
      <c r="A14" s="95"/>
    </row>
    <row r="15">
      <c r="A15" s="95"/>
    </row>
    <row r="16">
      <c r="A16" s="95"/>
    </row>
    <row r="19">
      <c r="A19" s="39"/>
      <c r="B19" s="39"/>
    </row>
    <row r="20">
      <c r="A20" s="42"/>
      <c r="B20" s="4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c r="A32" s="39">
        <v>2.0</v>
      </c>
      <c r="B32" s="39" t="s">
        <v>129</v>
      </c>
    </row>
    <row r="33" ht="15.75" customHeight="1"/>
    <row r="34" ht="15.75" customHeight="1">
      <c r="B34" s="46" t="s">
        <v>1</v>
      </c>
      <c r="C34" s="47" t="s">
        <v>130</v>
      </c>
      <c r="D34" s="47" t="s">
        <v>131</v>
      </c>
      <c r="E34" s="47" t="s">
        <v>7</v>
      </c>
    </row>
    <row r="35" ht="15.75" customHeight="1">
      <c r="B35" s="48">
        <v>1.0</v>
      </c>
      <c r="C35" s="48" t="s">
        <v>132</v>
      </c>
      <c r="D35" s="51" t="s">
        <v>262</v>
      </c>
      <c r="E35" s="48"/>
    </row>
    <row r="36" ht="15.75" customHeight="1">
      <c r="B36" s="48">
        <v>2.0</v>
      </c>
      <c r="C36" s="48" t="s">
        <v>263</v>
      </c>
      <c r="D36" s="51" t="s">
        <v>274</v>
      </c>
      <c r="E36" s="48"/>
    </row>
    <row r="37" ht="15.75" customHeight="1">
      <c r="B37" s="48">
        <v>3.0</v>
      </c>
      <c r="C37" s="48" t="s">
        <v>265</v>
      </c>
      <c r="D37" s="51" t="s">
        <v>275</v>
      </c>
      <c r="E37" s="48"/>
    </row>
    <row r="38" ht="15.75" customHeight="1">
      <c r="B38" s="48">
        <v>4.0</v>
      </c>
      <c r="C38" s="48" t="s">
        <v>267</v>
      </c>
      <c r="D38" s="51" t="s">
        <v>276</v>
      </c>
      <c r="E38" s="48"/>
    </row>
    <row r="39" ht="15.75" customHeight="1">
      <c r="B39" s="48">
        <v>5.0</v>
      </c>
      <c r="C39" s="48" t="s">
        <v>235</v>
      </c>
      <c r="D39" s="51" t="s">
        <v>277</v>
      </c>
      <c r="E39" s="48"/>
    </row>
    <row r="40" ht="15.75" customHeight="1">
      <c r="B40" s="48">
        <v>6.0</v>
      </c>
      <c r="C40" s="48" t="s">
        <v>270</v>
      </c>
      <c r="D40" s="49" t="s">
        <v>271</v>
      </c>
      <c r="E40" s="48"/>
    </row>
    <row r="41" ht="15.75" customHeight="1">
      <c r="B41" s="48">
        <v>7.0</v>
      </c>
      <c r="C41" s="48" t="s">
        <v>258</v>
      </c>
      <c r="D41" s="51" t="s">
        <v>272</v>
      </c>
      <c r="E41" s="48"/>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7.57"/>
    <col customWidth="1" min="3" max="3" width="29.86"/>
    <col customWidth="1" min="4" max="4" width="61.0"/>
    <col customWidth="1" min="5" max="5" width="41.0"/>
    <col customWidth="1" min="6" max="6" width="9.14"/>
  </cols>
  <sheetData>
    <row r="1">
      <c r="A1" s="39">
        <v>1.0</v>
      </c>
      <c r="B1" s="40" t="s">
        <v>278</v>
      </c>
    </row>
    <row r="3">
      <c r="A3" s="93"/>
    </row>
    <row r="5">
      <c r="A5" s="94"/>
    </row>
    <row r="6">
      <c r="A6" s="95"/>
    </row>
    <row r="7">
      <c r="A7" s="95"/>
    </row>
    <row r="8">
      <c r="A8" s="95"/>
    </row>
    <row r="10">
      <c r="G10" s="96">
        <v>1.0</v>
      </c>
    </row>
    <row r="11">
      <c r="A11" s="97"/>
    </row>
    <row r="12">
      <c r="A12" s="95"/>
    </row>
    <row r="13">
      <c r="A13" s="95"/>
    </row>
    <row r="14">
      <c r="A14" s="95"/>
    </row>
    <row r="15">
      <c r="A15" s="95"/>
    </row>
    <row r="16">
      <c r="A16" s="95"/>
    </row>
    <row r="19">
      <c r="A19" s="39"/>
      <c r="B19" s="39"/>
    </row>
    <row r="20">
      <c r="A20" s="42"/>
      <c r="B20" s="42"/>
    </row>
    <row r="21" ht="15.75" customHeight="1"/>
    <row r="22" ht="15.75" customHeight="1"/>
    <row r="23" ht="15.75" customHeight="1"/>
    <row r="24" ht="15.75" customHeight="1"/>
    <row r="25" ht="15.75" customHeight="1"/>
    <row r="26" ht="15.75" customHeight="1"/>
    <row r="27" ht="15.75" customHeight="1">
      <c r="A27" s="39">
        <v>2.0</v>
      </c>
      <c r="B27" s="39" t="s">
        <v>129</v>
      </c>
    </row>
    <row r="28" ht="15.75" customHeight="1"/>
    <row r="29" ht="15.75" customHeight="1">
      <c r="B29" s="46" t="s">
        <v>1</v>
      </c>
      <c r="C29" s="47" t="s">
        <v>130</v>
      </c>
      <c r="D29" s="47" t="s">
        <v>131</v>
      </c>
      <c r="E29" s="47" t="s">
        <v>7</v>
      </c>
    </row>
    <row r="30" ht="15.75" customHeight="1">
      <c r="B30" s="48">
        <v>1.0</v>
      </c>
      <c r="C30" s="48" t="s">
        <v>132</v>
      </c>
      <c r="D30" s="51" t="s">
        <v>262</v>
      </c>
      <c r="E30" s="48"/>
    </row>
    <row r="31" ht="15.75" customHeight="1">
      <c r="B31" s="48">
        <v>2.0</v>
      </c>
      <c r="C31" s="48" t="s">
        <v>263</v>
      </c>
      <c r="D31" s="51" t="s">
        <v>279</v>
      </c>
      <c r="E31" s="48"/>
    </row>
    <row r="32" ht="15.75" customHeight="1">
      <c r="B32" s="48">
        <v>3.0</v>
      </c>
      <c r="C32" s="48" t="s">
        <v>265</v>
      </c>
      <c r="D32" s="51" t="s">
        <v>280</v>
      </c>
      <c r="E32" s="48"/>
    </row>
    <row r="33" ht="15.75" customHeight="1">
      <c r="B33" s="48">
        <v>4.0</v>
      </c>
      <c r="C33" s="48" t="s">
        <v>267</v>
      </c>
      <c r="D33" s="51" t="s">
        <v>276</v>
      </c>
      <c r="E33" s="48"/>
    </row>
    <row r="34" ht="15.75" customHeight="1">
      <c r="B34" s="48">
        <v>5.0</v>
      </c>
      <c r="C34" s="48" t="s">
        <v>235</v>
      </c>
      <c r="D34" s="51" t="s">
        <v>281</v>
      </c>
      <c r="E34" s="48"/>
    </row>
    <row r="35" ht="15.75" customHeight="1">
      <c r="B35" s="48">
        <v>6.0</v>
      </c>
      <c r="C35" s="48" t="s">
        <v>270</v>
      </c>
      <c r="D35" s="49" t="s">
        <v>271</v>
      </c>
      <c r="E35" s="48"/>
    </row>
    <row r="36" ht="15.75" customHeight="1">
      <c r="B36" s="48">
        <v>7.0</v>
      </c>
      <c r="C36" s="48" t="s">
        <v>258</v>
      </c>
      <c r="D36" s="51" t="s">
        <v>272</v>
      </c>
      <c r="E36" s="48"/>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7.57"/>
    <col customWidth="1" min="3" max="3" width="29.86"/>
    <col customWidth="1" min="4" max="4" width="61.0"/>
    <col customWidth="1" min="5" max="5" width="41.0"/>
    <col customWidth="1" min="6" max="6" width="9.14"/>
  </cols>
  <sheetData>
    <row r="1">
      <c r="A1" s="39">
        <v>1.0</v>
      </c>
      <c r="B1" s="40" t="s">
        <v>261</v>
      </c>
    </row>
    <row r="3">
      <c r="A3" s="93"/>
    </row>
    <row r="5">
      <c r="A5" s="94"/>
    </row>
    <row r="6">
      <c r="A6" s="95"/>
    </row>
    <row r="7">
      <c r="A7" s="95"/>
    </row>
    <row r="8">
      <c r="A8" s="95"/>
    </row>
    <row r="10">
      <c r="G10" s="96">
        <v>1.0</v>
      </c>
    </row>
    <row r="11">
      <c r="A11" s="97"/>
    </row>
    <row r="12">
      <c r="A12" s="95"/>
    </row>
    <row r="13">
      <c r="A13" s="95"/>
    </row>
    <row r="14">
      <c r="A14" s="95"/>
    </row>
    <row r="15">
      <c r="A15" s="95"/>
    </row>
    <row r="16">
      <c r="A16" s="95"/>
    </row>
    <row r="19">
      <c r="A19" s="39"/>
      <c r="B19" s="39"/>
    </row>
    <row r="20">
      <c r="A20" s="42"/>
      <c r="B20" s="42"/>
    </row>
    <row r="21" ht="15.75" customHeight="1"/>
    <row r="22" ht="15.75" customHeight="1"/>
    <row r="23" ht="15.75" customHeight="1"/>
    <row r="24" ht="15.75" customHeight="1"/>
    <row r="25" ht="15.75" customHeight="1"/>
    <row r="26" ht="15.75" customHeight="1"/>
    <row r="27" ht="15.75" customHeight="1">
      <c r="A27" s="39">
        <v>2.0</v>
      </c>
      <c r="B27" s="39" t="s">
        <v>129</v>
      </c>
    </row>
    <row r="28" ht="15.75" customHeight="1"/>
    <row r="29" ht="15.75" customHeight="1">
      <c r="B29" s="46" t="s">
        <v>1</v>
      </c>
      <c r="C29" s="47" t="s">
        <v>130</v>
      </c>
      <c r="D29" s="47" t="s">
        <v>131</v>
      </c>
      <c r="E29" s="47" t="s">
        <v>7</v>
      </c>
    </row>
    <row r="30" ht="15.75" customHeight="1">
      <c r="B30" s="48">
        <v>1.0</v>
      </c>
      <c r="C30" s="48" t="s">
        <v>132</v>
      </c>
      <c r="D30" s="51" t="s">
        <v>262</v>
      </c>
      <c r="E30" s="48"/>
    </row>
    <row r="31" ht="15.75" customHeight="1">
      <c r="B31" s="48">
        <v>2.0</v>
      </c>
      <c r="C31" s="48" t="s">
        <v>263</v>
      </c>
      <c r="D31" s="51" t="s">
        <v>282</v>
      </c>
      <c r="E31" s="48"/>
    </row>
    <row r="32" ht="15.75" customHeight="1">
      <c r="B32" s="48">
        <v>3.0</v>
      </c>
      <c r="C32" s="48" t="s">
        <v>265</v>
      </c>
      <c r="D32" s="51" t="s">
        <v>280</v>
      </c>
      <c r="E32" s="48"/>
    </row>
    <row r="33" ht="15.75" customHeight="1">
      <c r="B33" s="48">
        <v>4.0</v>
      </c>
      <c r="C33" s="48" t="s">
        <v>267</v>
      </c>
      <c r="D33" s="51" t="s">
        <v>276</v>
      </c>
      <c r="E33" s="48"/>
    </row>
    <row r="34" ht="15.75" customHeight="1">
      <c r="B34" s="48">
        <v>5.0</v>
      </c>
      <c r="C34" s="48" t="s">
        <v>235</v>
      </c>
      <c r="D34" s="51" t="s">
        <v>283</v>
      </c>
      <c r="E34" s="48"/>
    </row>
    <row r="35" ht="15.75" customHeight="1">
      <c r="B35" s="48">
        <v>6.0</v>
      </c>
      <c r="C35" s="48" t="s">
        <v>270</v>
      </c>
      <c r="D35" s="49" t="s">
        <v>271</v>
      </c>
      <c r="E35" s="48"/>
    </row>
    <row r="36" ht="15.75" customHeight="1">
      <c r="B36" s="48">
        <v>7.0</v>
      </c>
      <c r="C36" s="48" t="s">
        <v>258</v>
      </c>
      <c r="D36" s="51" t="s">
        <v>272</v>
      </c>
      <c r="E36" s="48"/>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7.57"/>
    <col customWidth="1" min="3" max="3" width="29.86"/>
    <col customWidth="1" min="4" max="4" width="61.0"/>
    <col customWidth="1" min="5" max="5" width="41.0"/>
    <col customWidth="1" min="6" max="6" width="9.14"/>
  </cols>
  <sheetData>
    <row r="1">
      <c r="A1" s="39">
        <v>1.0</v>
      </c>
      <c r="B1" s="40" t="s">
        <v>284</v>
      </c>
    </row>
    <row r="3">
      <c r="A3" s="93"/>
    </row>
    <row r="5">
      <c r="A5" s="94"/>
    </row>
    <row r="6">
      <c r="A6" s="95"/>
    </row>
    <row r="7">
      <c r="A7" s="95"/>
    </row>
    <row r="8">
      <c r="A8" s="95"/>
    </row>
    <row r="10">
      <c r="G10" s="96">
        <v>1.0</v>
      </c>
    </row>
    <row r="11">
      <c r="A11" s="97"/>
    </row>
    <row r="12">
      <c r="A12" s="95"/>
    </row>
    <row r="13">
      <c r="A13" s="95"/>
    </row>
    <row r="14">
      <c r="A14" s="95"/>
    </row>
    <row r="15">
      <c r="A15" s="95"/>
    </row>
    <row r="16">
      <c r="A16" s="95"/>
    </row>
    <row r="19">
      <c r="A19" s="39"/>
      <c r="B19" s="39"/>
    </row>
    <row r="20">
      <c r="A20" s="42"/>
      <c r="B20" s="4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c r="A32" s="39">
        <v>2.0</v>
      </c>
      <c r="B32" s="39" t="s">
        <v>129</v>
      </c>
    </row>
    <row r="33" ht="15.75" customHeight="1"/>
    <row r="34" ht="15.75" customHeight="1">
      <c r="B34" s="46" t="s">
        <v>1</v>
      </c>
      <c r="C34" s="47" t="s">
        <v>130</v>
      </c>
      <c r="D34" s="47" t="s">
        <v>131</v>
      </c>
      <c r="E34" s="47" t="s">
        <v>7</v>
      </c>
    </row>
    <row r="35" ht="15.75" customHeight="1">
      <c r="B35" s="48">
        <v>1.0</v>
      </c>
      <c r="C35" s="48" t="s">
        <v>132</v>
      </c>
      <c r="D35" s="51" t="s">
        <v>262</v>
      </c>
      <c r="E35" s="48"/>
    </row>
    <row r="36" ht="15.75" customHeight="1">
      <c r="B36" s="48">
        <v>2.0</v>
      </c>
      <c r="C36" s="48" t="s">
        <v>263</v>
      </c>
      <c r="D36" s="51" t="s">
        <v>285</v>
      </c>
      <c r="E36" s="48"/>
    </row>
    <row r="37" ht="15.75" customHeight="1">
      <c r="B37" s="48">
        <v>3.0</v>
      </c>
      <c r="C37" s="48" t="s">
        <v>265</v>
      </c>
      <c r="D37" s="51" t="s">
        <v>286</v>
      </c>
      <c r="E37" s="48"/>
    </row>
    <row r="38" ht="15.75" customHeight="1">
      <c r="B38" s="48">
        <v>4.0</v>
      </c>
      <c r="C38" s="48" t="s">
        <v>267</v>
      </c>
      <c r="D38" s="51" t="s">
        <v>287</v>
      </c>
      <c r="E38" s="48"/>
    </row>
    <row r="39" ht="15.75" customHeight="1">
      <c r="B39" s="48">
        <v>5.0</v>
      </c>
      <c r="C39" s="48" t="s">
        <v>235</v>
      </c>
      <c r="D39" s="51" t="s">
        <v>288</v>
      </c>
      <c r="E39" s="48"/>
    </row>
    <row r="40" ht="15.75" customHeight="1">
      <c r="B40" s="48">
        <v>6.0</v>
      </c>
      <c r="C40" s="48" t="s">
        <v>270</v>
      </c>
      <c r="D40" s="49" t="s">
        <v>271</v>
      </c>
      <c r="E40" s="48"/>
    </row>
    <row r="41" ht="15.75" customHeight="1">
      <c r="B41" s="48">
        <v>7.0</v>
      </c>
      <c r="C41" s="48" t="s">
        <v>258</v>
      </c>
      <c r="D41" s="51" t="s">
        <v>289</v>
      </c>
      <c r="E41" s="48"/>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7.57"/>
    <col customWidth="1" min="3" max="3" width="38.86"/>
    <col customWidth="1" min="4" max="4" width="61.0"/>
    <col customWidth="1" min="5" max="5" width="54.0"/>
    <col customWidth="1" min="6" max="6" width="25.14"/>
  </cols>
  <sheetData>
    <row r="1">
      <c r="A1" s="39">
        <v>1.0</v>
      </c>
      <c r="B1" s="40" t="s">
        <v>290</v>
      </c>
    </row>
    <row r="3">
      <c r="A3" s="42"/>
      <c r="B3" s="43" t="s">
        <v>291</v>
      </c>
      <c r="C3" s="19" t="s">
        <v>292</v>
      </c>
    </row>
    <row r="4" ht="15.75" customHeight="1"/>
    <row r="5" ht="15.75" customHeight="1">
      <c r="A5" s="39">
        <v>2.0</v>
      </c>
      <c r="B5" s="40" t="s">
        <v>222</v>
      </c>
    </row>
    <row r="6" ht="15.75" customHeight="1">
      <c r="B6" s="19" t="s">
        <v>33</v>
      </c>
      <c r="C6" s="50" t="s">
        <v>293</v>
      </c>
      <c r="D6" s="98"/>
      <c r="E6" s="99"/>
      <c r="F6" s="99"/>
    </row>
    <row r="7" ht="15.75" customHeight="1">
      <c r="B7" s="50" t="s">
        <v>294</v>
      </c>
      <c r="C7" s="50" t="s">
        <v>295</v>
      </c>
    </row>
    <row r="8" ht="15.75" customHeight="1">
      <c r="B8" s="19" t="s">
        <v>296</v>
      </c>
      <c r="C8" s="50" t="s">
        <v>297</v>
      </c>
    </row>
    <row r="9" ht="15.75" customHeight="1">
      <c r="B9" s="19" t="s">
        <v>22</v>
      </c>
      <c r="C9" s="19" t="s">
        <v>298</v>
      </c>
    </row>
    <row r="10" ht="15.75" customHeight="1"/>
    <row r="11" ht="15.75" customHeight="1">
      <c r="A11" s="40">
        <v>3.0</v>
      </c>
      <c r="B11" s="39" t="s">
        <v>129</v>
      </c>
    </row>
    <row r="12" ht="15.75" customHeight="1"/>
    <row r="13" ht="15.75" customHeight="1">
      <c r="B13" s="46" t="s">
        <v>1</v>
      </c>
      <c r="C13" s="46" t="s">
        <v>130</v>
      </c>
      <c r="D13" s="46" t="s">
        <v>131</v>
      </c>
      <c r="E13" s="46" t="s">
        <v>7</v>
      </c>
    </row>
    <row r="14" ht="15.75" customHeight="1">
      <c r="B14" s="48">
        <v>1.0</v>
      </c>
      <c r="C14" s="52" t="s">
        <v>299</v>
      </c>
      <c r="D14" s="100" t="s">
        <v>300</v>
      </c>
      <c r="E14" s="100" t="s">
        <v>301</v>
      </c>
    </row>
    <row r="15" ht="15.75" customHeight="1">
      <c r="B15" s="48">
        <v>2.0</v>
      </c>
      <c r="C15" s="101" t="s">
        <v>302</v>
      </c>
      <c r="D15" s="102" t="s">
        <v>303</v>
      </c>
      <c r="E15" s="48"/>
    </row>
    <row r="16" ht="15.75" customHeight="1">
      <c r="B16" s="48">
        <v>3.0</v>
      </c>
      <c r="C16" s="52" t="s">
        <v>304</v>
      </c>
      <c r="D16" s="51" t="s">
        <v>305</v>
      </c>
      <c r="E16" s="48"/>
    </row>
    <row r="17" ht="15.75" customHeight="1">
      <c r="B17" s="48">
        <v>4.0</v>
      </c>
      <c r="C17" s="52"/>
      <c r="D17" s="51"/>
      <c r="E17" s="48"/>
    </row>
    <row r="18" ht="15.75" customHeight="1">
      <c r="B18" s="48">
        <v>5.0</v>
      </c>
      <c r="C18" s="48"/>
      <c r="D18" s="51"/>
      <c r="E18" s="48"/>
    </row>
    <row r="19" ht="15.75" customHeight="1">
      <c r="B19" s="48">
        <v>6.0</v>
      </c>
      <c r="C19" s="48"/>
      <c r="D19" s="51"/>
      <c r="E19" s="48"/>
    </row>
    <row r="20" ht="15.75" customHeight="1">
      <c r="B20" s="48">
        <v>7.0</v>
      </c>
      <c r="C20" s="48"/>
      <c r="D20" s="51"/>
      <c r="E20" s="48"/>
    </row>
    <row r="21" ht="15.75" customHeight="1">
      <c r="B21" s="48">
        <v>8.0</v>
      </c>
      <c r="C21" s="48"/>
      <c r="D21" s="51"/>
      <c r="E21" s="48"/>
    </row>
    <row r="22" ht="15.75" customHeight="1">
      <c r="B22" s="48">
        <v>9.0</v>
      </c>
      <c r="C22" s="52"/>
      <c r="D22" s="51"/>
      <c r="E22" s="48"/>
    </row>
    <row r="23" ht="15.75" customHeight="1">
      <c r="B23" s="48">
        <v>10.0</v>
      </c>
      <c r="C23" s="52"/>
      <c r="D23" s="51"/>
      <c r="E23" s="48"/>
    </row>
    <row r="24" ht="15.75" customHeight="1">
      <c r="B24" s="48">
        <v>11.0</v>
      </c>
      <c r="C24" s="48"/>
      <c r="D24" s="51"/>
      <c r="E24" s="48"/>
    </row>
    <row r="25" ht="15.75" customHeight="1">
      <c r="B25" s="52">
        <v>12.0</v>
      </c>
      <c r="C25" s="52"/>
      <c r="D25" s="51"/>
      <c r="E25" s="48"/>
    </row>
    <row r="26" ht="15.75" customHeight="1">
      <c r="B26" s="52">
        <v>13.0</v>
      </c>
      <c r="C26" s="52"/>
      <c r="D26" s="51"/>
      <c r="E26" s="4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hyperlinks>
    <hyperlink r:id="rId1" ref="D14"/>
    <hyperlink display="Trên Phiếu nhập kho: Điều chỉnh các mục dưới đây có định dạng in đậm và tô màu đỏ&#10;6        Xóa&#10;8        Hủy&#10;10        Không duyệt&#10;https://docs.google.com/spreadsheets/d/1jljZd94q5hPs_VCUIFFelofH5LKgkAhLZL3cJTgx-xM/edit?gid=1344197067#gid=1344197067&#10;&#10;2. BỔ SUNG:&#10;- Khi tạo Phiếu nhập kho: Khi tạo Chi tiết phiếu nhập kho bổ sung thêm 2 cột Đơn giá, Tổng tiền.&#10;+ Tổng tiền = SUM cột Tổng tiền Group by theo 3 cột Loại vàng, Nhóm hàng, Tình trạng.&#10;+ Đơn giá = (Tổng Thành tiền/Tổng TL vàng)/1000 Group by theo 3 cột Loại vàng, Nhóm hàng, Tình trạng." location="'form Phiếu nhập kho'!A1" ref="E14"/>
  </hyperlinks>
  <printOptions/>
  <pageMargins bottom="0.75" footer="0.0" header="0.0" left="0.7" right="0.7" top="0.75"/>
  <pageSetup orientation="landscape"/>
  <drawing r:id="rId2"/>
  <tableParts count="1">
    <tablePart r:id="rId4"/>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7.57"/>
    <col customWidth="1" min="3" max="3" width="38.86"/>
    <col customWidth="1" min="4" max="4" width="61.0"/>
    <col customWidth="1" min="5" max="5" width="83.29"/>
    <col customWidth="1" min="6" max="6" width="25.14"/>
  </cols>
  <sheetData>
    <row r="1">
      <c r="A1" s="39">
        <v>1.0</v>
      </c>
      <c r="B1" s="40" t="s">
        <v>306</v>
      </c>
    </row>
    <row r="2">
      <c r="B2" s="19" t="s">
        <v>307</v>
      </c>
      <c r="C2" s="19" t="s">
        <v>292</v>
      </c>
    </row>
    <row r="3">
      <c r="A3" s="42"/>
      <c r="B3" s="43" t="s">
        <v>308</v>
      </c>
      <c r="C3" s="19" t="s">
        <v>292</v>
      </c>
    </row>
    <row r="4" ht="15.75" customHeight="1"/>
    <row r="5" ht="15.75" customHeight="1">
      <c r="A5" s="39">
        <v>2.0</v>
      </c>
      <c r="B5" s="40" t="s">
        <v>222</v>
      </c>
    </row>
    <row r="6" ht="15.75" customHeight="1">
      <c r="B6" s="19" t="s">
        <v>294</v>
      </c>
      <c r="C6" s="50" t="s">
        <v>295</v>
      </c>
      <c r="D6" s="98"/>
      <c r="E6" s="99"/>
      <c r="F6" s="99"/>
    </row>
    <row r="7" ht="15.75" customHeight="1">
      <c r="B7" s="50" t="s">
        <v>296</v>
      </c>
      <c r="C7" s="50" t="s">
        <v>297</v>
      </c>
    </row>
    <row r="8" ht="15.75" customHeight="1">
      <c r="B8" s="19" t="s">
        <v>22</v>
      </c>
      <c r="C8" s="19" t="s">
        <v>298</v>
      </c>
    </row>
    <row r="9" ht="15.75" customHeight="1"/>
    <row r="10" ht="15.75" customHeight="1">
      <c r="A10" s="40">
        <v>3.0</v>
      </c>
      <c r="B10" s="39" t="s">
        <v>129</v>
      </c>
    </row>
    <row r="11" ht="15.75" customHeight="1"/>
    <row r="12" ht="15.75" customHeight="1">
      <c r="B12" s="46" t="s">
        <v>1</v>
      </c>
      <c r="C12" s="46" t="s">
        <v>130</v>
      </c>
      <c r="D12" s="46" t="s">
        <v>131</v>
      </c>
      <c r="E12" s="46" t="s">
        <v>7</v>
      </c>
      <c r="F12" s="103"/>
    </row>
    <row r="13" ht="15.75" customHeight="1">
      <c r="B13" s="48">
        <v>1.0</v>
      </c>
      <c r="C13" s="48" t="s">
        <v>132</v>
      </c>
      <c r="D13" s="51" t="s">
        <v>309</v>
      </c>
      <c r="E13" s="48"/>
      <c r="F13" s="104"/>
    </row>
    <row r="14" ht="15.75" customHeight="1">
      <c r="B14" s="48">
        <v>2.0</v>
      </c>
      <c r="C14" s="52" t="s">
        <v>310</v>
      </c>
      <c r="D14" s="51" t="s">
        <v>311</v>
      </c>
      <c r="E14" s="48"/>
      <c r="F14" s="104"/>
    </row>
    <row r="15" ht="15.75" customHeight="1">
      <c r="B15" s="48">
        <v>3.0</v>
      </c>
      <c r="C15" s="48" t="s">
        <v>263</v>
      </c>
      <c r="D15" s="51" t="s">
        <v>312</v>
      </c>
      <c r="E15" s="48"/>
      <c r="F15" s="104"/>
    </row>
    <row r="16" ht="15.75" customHeight="1">
      <c r="B16" s="48">
        <v>4.0</v>
      </c>
      <c r="C16" s="52" t="s">
        <v>313</v>
      </c>
      <c r="D16" s="51" t="s">
        <v>314</v>
      </c>
      <c r="E16" s="105" t="s">
        <v>315</v>
      </c>
      <c r="F16" s="106" t="s">
        <v>10</v>
      </c>
    </row>
    <row r="17" ht="15.75" customHeight="1">
      <c r="B17" s="48">
        <v>5.0</v>
      </c>
      <c r="C17" s="48" t="s">
        <v>265</v>
      </c>
      <c r="D17" s="51" t="s">
        <v>316</v>
      </c>
      <c r="E17" s="48"/>
      <c r="F17" s="104"/>
    </row>
    <row r="18" ht="15.75" customHeight="1">
      <c r="B18" s="48">
        <v>6.0</v>
      </c>
      <c r="C18" s="48" t="s">
        <v>267</v>
      </c>
      <c r="D18" s="51" t="s">
        <v>317</v>
      </c>
      <c r="E18" s="51" t="s">
        <v>318</v>
      </c>
      <c r="F18" s="107"/>
    </row>
    <row r="19" ht="15.75" customHeight="1">
      <c r="B19" s="48">
        <v>7.0</v>
      </c>
      <c r="C19" s="48" t="s">
        <v>235</v>
      </c>
      <c r="D19" s="51" t="s">
        <v>319</v>
      </c>
      <c r="E19" s="48"/>
      <c r="F19" s="104"/>
    </row>
    <row r="20" ht="15.75" customHeight="1">
      <c r="B20" s="48">
        <v>8.0</v>
      </c>
      <c r="C20" s="48" t="s">
        <v>270</v>
      </c>
      <c r="D20" s="51" t="s">
        <v>320</v>
      </c>
      <c r="E20" s="51" t="s">
        <v>318</v>
      </c>
      <c r="F20" s="107"/>
    </row>
    <row r="21" ht="15.75" customHeight="1">
      <c r="B21" s="48">
        <v>9.0</v>
      </c>
      <c r="C21" s="52" t="s">
        <v>321</v>
      </c>
      <c r="D21" s="51" t="s">
        <v>322</v>
      </c>
      <c r="E21" s="54" t="s">
        <v>323</v>
      </c>
      <c r="F21" s="108"/>
    </row>
    <row r="22" ht="15.75" customHeight="1">
      <c r="B22" s="48">
        <v>10.0</v>
      </c>
      <c r="C22" s="52" t="s">
        <v>324</v>
      </c>
      <c r="D22" s="51" t="s">
        <v>325</v>
      </c>
      <c r="E22" s="51" t="s">
        <v>318</v>
      </c>
      <c r="F22" s="107"/>
    </row>
    <row r="23" ht="15.75" customHeight="1">
      <c r="B23" s="48">
        <v>11.0</v>
      </c>
      <c r="C23" s="48" t="s">
        <v>258</v>
      </c>
      <c r="D23" s="51" t="s">
        <v>326</v>
      </c>
      <c r="E23" s="48"/>
      <c r="F23" s="104"/>
    </row>
    <row r="24" ht="15.75" customHeight="1">
      <c r="B24" s="52">
        <v>12.0</v>
      </c>
      <c r="C24" s="52" t="s">
        <v>327</v>
      </c>
      <c r="D24" s="51" t="s">
        <v>328</v>
      </c>
      <c r="E24" s="48"/>
      <c r="F24" s="104"/>
    </row>
    <row r="25" ht="15.75" customHeight="1">
      <c r="B25" s="52">
        <v>13.0</v>
      </c>
      <c r="C25" s="52" t="s">
        <v>329</v>
      </c>
      <c r="D25" s="51" t="s">
        <v>330</v>
      </c>
      <c r="E25" s="48"/>
      <c r="F25" s="10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printOptions/>
  <pageMargins bottom="0.75" footer="0.0" header="0.0" left="0.7" right="0.7" top="0.75"/>
  <pageSetup orientation="landscape"/>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7.57"/>
    <col customWidth="1" min="3" max="3" width="38.86"/>
    <col customWidth="1" min="4" max="4" width="61.0"/>
    <col customWidth="1" min="5" max="5" width="94.0"/>
    <col customWidth="1" min="6" max="6" width="9.14"/>
  </cols>
  <sheetData>
    <row r="1">
      <c r="A1" s="39">
        <v>1.0</v>
      </c>
      <c r="B1" s="40" t="s">
        <v>331</v>
      </c>
    </row>
    <row r="2">
      <c r="B2" s="19" t="s">
        <v>332</v>
      </c>
      <c r="C2" s="19" t="s">
        <v>292</v>
      </c>
    </row>
    <row r="3">
      <c r="A3" s="42"/>
      <c r="B3" s="43"/>
    </row>
    <row r="4">
      <c r="A4" s="42"/>
      <c r="B4" s="43" t="s">
        <v>333</v>
      </c>
      <c r="C4" s="19" t="s">
        <v>292</v>
      </c>
    </row>
    <row r="5" ht="15.75" customHeight="1"/>
    <row r="6" ht="15.75" customHeight="1">
      <c r="A6" s="39">
        <v>2.0</v>
      </c>
      <c r="B6" s="40" t="s">
        <v>222</v>
      </c>
    </row>
    <row r="7" ht="15.75" customHeight="1">
      <c r="B7" s="19" t="s">
        <v>334</v>
      </c>
    </row>
    <row r="8" ht="15.75" customHeight="1"/>
    <row r="9" ht="15.75" customHeight="1"/>
    <row r="10" ht="15.75" customHeight="1">
      <c r="A10" s="40">
        <v>3.0</v>
      </c>
      <c r="B10" s="39" t="s">
        <v>129</v>
      </c>
    </row>
    <row r="11" ht="15.75" customHeight="1"/>
    <row r="12" ht="15.75" customHeight="1">
      <c r="B12" s="46" t="s">
        <v>1</v>
      </c>
      <c r="C12" s="47" t="s">
        <v>130</v>
      </c>
      <c r="D12" s="47" t="s">
        <v>131</v>
      </c>
      <c r="E12" s="47" t="s">
        <v>7</v>
      </c>
    </row>
    <row r="13" ht="15.75" customHeight="1">
      <c r="B13" s="48">
        <v>1.0</v>
      </c>
      <c r="C13" s="48" t="s">
        <v>132</v>
      </c>
      <c r="D13" s="51" t="s">
        <v>309</v>
      </c>
      <c r="E13" s="48"/>
    </row>
    <row r="14" ht="15.75" customHeight="1">
      <c r="B14" s="48">
        <v>2.0</v>
      </c>
      <c r="C14" s="52" t="s">
        <v>310</v>
      </c>
      <c r="D14" s="51" t="s">
        <v>335</v>
      </c>
      <c r="E14" s="48"/>
    </row>
    <row r="15" ht="15.75" customHeight="1">
      <c r="B15" s="48">
        <v>3.0</v>
      </c>
      <c r="C15" s="48" t="s">
        <v>263</v>
      </c>
      <c r="D15" s="51" t="s">
        <v>336</v>
      </c>
      <c r="E15" s="48"/>
    </row>
    <row r="16" ht="15.75" customHeight="1">
      <c r="B16" s="48">
        <v>4.0</v>
      </c>
      <c r="C16" s="52" t="s">
        <v>337</v>
      </c>
      <c r="D16" s="51" t="s">
        <v>338</v>
      </c>
      <c r="E16" s="105" t="s">
        <v>315</v>
      </c>
    </row>
    <row r="17" ht="15.75" customHeight="1">
      <c r="B17" s="48">
        <v>5.0</v>
      </c>
      <c r="C17" s="48" t="s">
        <v>265</v>
      </c>
      <c r="D17" s="51" t="s">
        <v>339</v>
      </c>
      <c r="E17" s="48"/>
    </row>
    <row r="18" ht="15.75" customHeight="1">
      <c r="B18" s="48">
        <v>6.0</v>
      </c>
      <c r="C18" s="48" t="s">
        <v>267</v>
      </c>
      <c r="D18" s="51" t="s">
        <v>340</v>
      </c>
      <c r="E18" s="48"/>
    </row>
    <row r="19" ht="15.75" customHeight="1">
      <c r="B19" s="48">
        <v>7.0</v>
      </c>
      <c r="C19" s="48" t="s">
        <v>235</v>
      </c>
      <c r="D19" s="51" t="s">
        <v>341</v>
      </c>
      <c r="E19" s="48"/>
    </row>
    <row r="20" ht="15.75" customHeight="1">
      <c r="B20" s="48">
        <v>8.0</v>
      </c>
      <c r="C20" s="48" t="s">
        <v>270</v>
      </c>
      <c r="D20" s="51" t="s">
        <v>342</v>
      </c>
      <c r="E20" s="48"/>
    </row>
    <row r="21" ht="15.75" customHeight="1">
      <c r="B21" s="48">
        <v>9.0</v>
      </c>
      <c r="C21" s="52" t="s">
        <v>343</v>
      </c>
      <c r="D21" s="51" t="s">
        <v>344</v>
      </c>
      <c r="E21" s="48"/>
    </row>
    <row r="22" ht="15.75" customHeight="1">
      <c r="B22" s="48">
        <v>10.0</v>
      </c>
      <c r="C22" s="52" t="s">
        <v>321</v>
      </c>
      <c r="D22" s="51" t="s">
        <v>345</v>
      </c>
      <c r="E22" s="52" t="s">
        <v>346</v>
      </c>
    </row>
    <row r="23" ht="15.75" customHeight="1">
      <c r="B23" s="48">
        <v>11.0</v>
      </c>
      <c r="C23" s="52" t="s">
        <v>324</v>
      </c>
      <c r="D23" s="51" t="s">
        <v>347</v>
      </c>
      <c r="E23" s="48"/>
    </row>
    <row r="24" ht="15.75" customHeight="1">
      <c r="B24" s="48">
        <v>12.0</v>
      </c>
      <c r="C24" s="48" t="s">
        <v>258</v>
      </c>
      <c r="D24" s="51" t="s">
        <v>348</v>
      </c>
      <c r="E24" s="48"/>
    </row>
    <row r="25" ht="15.75" customHeight="1">
      <c r="B25" s="48">
        <v>13.0</v>
      </c>
      <c r="C25" s="52" t="s">
        <v>327</v>
      </c>
      <c r="D25" s="51" t="s">
        <v>349</v>
      </c>
      <c r="E25" s="48"/>
    </row>
    <row r="26" ht="15.75" customHeight="1">
      <c r="B26" s="48">
        <v>14.0</v>
      </c>
      <c r="C26" s="52" t="s">
        <v>329</v>
      </c>
      <c r="D26" s="51" t="s">
        <v>350</v>
      </c>
      <c r="E26" s="48"/>
    </row>
    <row r="27" ht="15.75" customHeight="1">
      <c r="B27" s="52">
        <v>15.0</v>
      </c>
      <c r="C27" s="52" t="s">
        <v>351</v>
      </c>
      <c r="D27" s="51" t="s">
        <v>352</v>
      </c>
      <c r="E27" s="48"/>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0.75" footer="0.0" header="0.0" left="0.7" right="0.7" top="0.75"/>
  <pageSetup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7.57"/>
    <col customWidth="1" min="3" max="3" width="38.86"/>
    <col customWidth="1" min="4" max="4" width="70.29"/>
    <col customWidth="1" min="5" max="5" width="123.43"/>
    <col customWidth="1" min="6" max="6" width="9.14"/>
  </cols>
  <sheetData>
    <row r="1">
      <c r="A1" s="39">
        <v>1.0</v>
      </c>
      <c r="B1" s="40" t="s">
        <v>353</v>
      </c>
    </row>
    <row r="2">
      <c r="B2" s="19" t="s">
        <v>354</v>
      </c>
      <c r="C2" s="19" t="s">
        <v>292</v>
      </c>
    </row>
    <row r="3">
      <c r="A3" s="42"/>
      <c r="B3" s="43"/>
    </row>
    <row r="4">
      <c r="A4" s="42"/>
      <c r="B4" s="43" t="s">
        <v>355</v>
      </c>
      <c r="C4" s="19" t="s">
        <v>292</v>
      </c>
    </row>
    <row r="5" ht="15.75" customHeight="1"/>
    <row r="6" ht="15.75" customHeight="1">
      <c r="A6" s="39">
        <v>2.0</v>
      </c>
      <c r="B6" s="40" t="s">
        <v>222</v>
      </c>
    </row>
    <row r="7" ht="15.75" customHeight="1">
      <c r="B7" s="19" t="s">
        <v>356</v>
      </c>
    </row>
    <row r="8" ht="15.75" customHeight="1"/>
    <row r="9" ht="15.75" customHeight="1"/>
    <row r="10" ht="15.75" customHeight="1">
      <c r="A10" s="40">
        <v>3.0</v>
      </c>
      <c r="B10" s="39" t="s">
        <v>129</v>
      </c>
    </row>
    <row r="11" ht="15.75" customHeight="1"/>
    <row r="12" ht="15.75" customHeight="1">
      <c r="B12" s="46" t="s">
        <v>1</v>
      </c>
      <c r="C12" s="47" t="s">
        <v>130</v>
      </c>
      <c r="D12" s="47" t="s">
        <v>131</v>
      </c>
      <c r="E12" s="47" t="s">
        <v>7</v>
      </c>
    </row>
    <row r="13" ht="15.75" customHeight="1">
      <c r="B13" s="48">
        <v>1.0</v>
      </c>
      <c r="C13" s="48" t="s">
        <v>132</v>
      </c>
      <c r="D13" s="51" t="s">
        <v>357</v>
      </c>
      <c r="E13" s="48"/>
    </row>
    <row r="14" ht="15.75" customHeight="1">
      <c r="B14" s="48">
        <v>2.0</v>
      </c>
      <c r="C14" s="52" t="s">
        <v>310</v>
      </c>
      <c r="D14" s="51" t="s">
        <v>358</v>
      </c>
      <c r="E14" s="48"/>
    </row>
    <row r="15" ht="15.75" customHeight="1">
      <c r="B15" s="48">
        <v>3.0</v>
      </c>
      <c r="C15" s="48" t="s">
        <v>263</v>
      </c>
      <c r="D15" s="51" t="s">
        <v>359</v>
      </c>
      <c r="E15" s="48"/>
    </row>
    <row r="16" ht="15.75" customHeight="1">
      <c r="B16" s="48">
        <v>4.0</v>
      </c>
      <c r="C16" s="52" t="s">
        <v>360</v>
      </c>
      <c r="D16" s="51" t="s">
        <v>361</v>
      </c>
      <c r="E16" s="105" t="s">
        <v>315</v>
      </c>
    </row>
    <row r="17" ht="15.75" customHeight="1">
      <c r="B17" s="48">
        <v>5.0</v>
      </c>
      <c r="C17" s="48" t="s">
        <v>265</v>
      </c>
      <c r="D17" s="51" t="s">
        <v>362</v>
      </c>
      <c r="E17" s="48"/>
    </row>
    <row r="18" ht="15.75" customHeight="1">
      <c r="B18" s="48">
        <v>6.0</v>
      </c>
      <c r="C18" s="48" t="s">
        <v>267</v>
      </c>
      <c r="D18" s="51" t="s">
        <v>363</v>
      </c>
      <c r="E18" s="48"/>
    </row>
    <row r="19" ht="15.75" customHeight="1">
      <c r="B19" s="48">
        <v>7.0</v>
      </c>
      <c r="C19" s="48" t="s">
        <v>235</v>
      </c>
      <c r="D19" s="51" t="s">
        <v>364</v>
      </c>
      <c r="E19" s="48"/>
    </row>
    <row r="20" ht="15.75" customHeight="1">
      <c r="B20" s="48">
        <v>8.0</v>
      </c>
      <c r="C20" s="48" t="s">
        <v>270</v>
      </c>
      <c r="D20" s="51" t="s">
        <v>365</v>
      </c>
      <c r="E20" s="48"/>
    </row>
    <row r="21" ht="15.75" customHeight="1">
      <c r="B21" s="48">
        <v>9.0</v>
      </c>
      <c r="C21" s="52" t="s">
        <v>343</v>
      </c>
      <c r="D21" s="51" t="s">
        <v>366</v>
      </c>
      <c r="E21" s="48"/>
    </row>
    <row r="22" ht="15.75" customHeight="1">
      <c r="B22" s="48">
        <v>10.0</v>
      </c>
      <c r="C22" s="52" t="s">
        <v>321</v>
      </c>
      <c r="D22" s="51" t="s">
        <v>367</v>
      </c>
      <c r="E22" s="109" t="s">
        <v>368</v>
      </c>
    </row>
    <row r="23" ht="15.75" customHeight="1">
      <c r="B23" s="48">
        <v>11.0</v>
      </c>
      <c r="C23" s="52" t="s">
        <v>324</v>
      </c>
      <c r="D23" s="51" t="s">
        <v>369</v>
      </c>
      <c r="E23" s="48"/>
    </row>
    <row r="24" ht="15.75" customHeight="1">
      <c r="B24" s="48">
        <v>12.0</v>
      </c>
      <c r="C24" s="48" t="s">
        <v>258</v>
      </c>
      <c r="D24" s="51" t="s">
        <v>370</v>
      </c>
      <c r="E24" s="48"/>
    </row>
    <row r="25" ht="15.75" customHeight="1">
      <c r="B25" s="48">
        <v>13.0</v>
      </c>
      <c r="C25" s="52" t="s">
        <v>327</v>
      </c>
      <c r="D25" s="51" t="s">
        <v>371</v>
      </c>
      <c r="E25" s="48"/>
    </row>
    <row r="26" ht="15.75" customHeight="1">
      <c r="B26" s="48"/>
      <c r="C26" s="52"/>
      <c r="D26" s="51"/>
      <c r="E26" s="48"/>
    </row>
    <row r="27" ht="15.75" customHeight="1">
      <c r="B27" s="52"/>
      <c r="C27" s="52"/>
      <c r="D27" s="51"/>
      <c r="E27" s="48"/>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0.75" footer="0.0" header="0.0" left="0.7" right="0.7" top="0.75"/>
  <pageSetup orientation="landscape"/>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54.14"/>
    <col customWidth="1" min="10" max="10" width="44.0"/>
  </cols>
  <sheetData>
    <row r="1">
      <c r="A1" s="41" t="s">
        <v>372</v>
      </c>
    </row>
    <row r="2">
      <c r="A2" s="19" t="s">
        <v>373</v>
      </c>
    </row>
    <row r="3">
      <c r="A3" s="19" t="s">
        <v>374</v>
      </c>
    </row>
    <row r="4">
      <c r="A4" s="19" t="s">
        <v>375</v>
      </c>
    </row>
    <row r="5">
      <c r="A5" s="19" t="s">
        <v>376</v>
      </c>
    </row>
    <row r="6">
      <c r="A6" s="19" t="s">
        <v>377</v>
      </c>
    </row>
    <row r="10">
      <c r="A10" s="41" t="s">
        <v>378</v>
      </c>
      <c r="B10" s="110"/>
      <c r="D10" s="41"/>
      <c r="E10" s="41"/>
      <c r="F10" s="19"/>
      <c r="G10" s="19"/>
      <c r="I10" s="41" t="s">
        <v>148</v>
      </c>
      <c r="J10" s="19" t="s">
        <v>379</v>
      </c>
    </row>
    <row r="11">
      <c r="A11" s="19" t="s">
        <v>380</v>
      </c>
      <c r="F11" s="19"/>
      <c r="I11" s="19" t="s">
        <v>381</v>
      </c>
    </row>
    <row r="12">
      <c r="A12" s="19" t="s">
        <v>382</v>
      </c>
      <c r="I12" s="19" t="s">
        <v>381</v>
      </c>
    </row>
    <row r="13">
      <c r="A13" s="19" t="s">
        <v>383</v>
      </c>
      <c r="I13" s="19" t="s">
        <v>381</v>
      </c>
    </row>
    <row r="14">
      <c r="A14" s="19" t="s">
        <v>384</v>
      </c>
      <c r="I14" s="19" t="s">
        <v>381</v>
      </c>
    </row>
    <row r="15">
      <c r="A15" s="19" t="s">
        <v>385</v>
      </c>
      <c r="I15" s="19" t="s">
        <v>381</v>
      </c>
    </row>
    <row r="16">
      <c r="A16" s="19" t="s">
        <v>386</v>
      </c>
      <c r="I16" s="19" t="s">
        <v>381</v>
      </c>
    </row>
    <row r="17">
      <c r="A17" s="19" t="s">
        <v>387</v>
      </c>
      <c r="I17" s="19" t="s">
        <v>381</v>
      </c>
    </row>
    <row r="18">
      <c r="A18" s="19" t="s">
        <v>388</v>
      </c>
      <c r="I18" s="19" t="s">
        <v>389</v>
      </c>
      <c r="J18" s="19" t="s">
        <v>390</v>
      </c>
    </row>
    <row r="19">
      <c r="A19" s="19" t="s">
        <v>391</v>
      </c>
      <c r="I19" s="19" t="s">
        <v>381</v>
      </c>
    </row>
    <row r="20">
      <c r="A20" s="19" t="s">
        <v>392</v>
      </c>
      <c r="I20" s="19" t="s">
        <v>381</v>
      </c>
      <c r="J20" s="19" t="s">
        <v>393</v>
      </c>
    </row>
    <row r="21">
      <c r="A21" s="19" t="s">
        <v>394</v>
      </c>
      <c r="I21" s="19" t="s">
        <v>389</v>
      </c>
      <c r="J21" s="19" t="s">
        <v>395</v>
      </c>
    </row>
  </sheetData>
  <mergeCells count="6">
    <mergeCell ref="A2:H2"/>
    <mergeCell ref="A3:H3"/>
    <mergeCell ref="A4:H4"/>
    <mergeCell ref="A5:H5"/>
    <mergeCell ref="A6:H6"/>
    <mergeCell ref="A7:H7"/>
  </mergeCells>
  <dataValidations>
    <dataValidation type="list" allowBlank="1" showErrorMessage="1" sqref="I11:I21">
      <formula1>"DONE,PENDING"</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57"/>
    <col customWidth="1" min="2" max="2" width="20.14"/>
    <col customWidth="1" min="3" max="3" width="17.29"/>
    <col customWidth="1" min="4" max="4" width="17.86"/>
    <col customWidth="1" min="5" max="5" width="21.43"/>
    <col customWidth="1" min="6" max="6" width="27.57"/>
    <col customWidth="1" min="7" max="13" width="20.14"/>
    <col customWidth="1" min="14" max="14" width="22.29"/>
  </cols>
  <sheetData>
    <row r="1">
      <c r="A1" s="111" t="s">
        <v>396</v>
      </c>
      <c r="B1" s="112"/>
      <c r="C1" s="112"/>
      <c r="D1" s="112"/>
      <c r="E1" s="112"/>
      <c r="F1" s="112"/>
      <c r="G1" s="112"/>
      <c r="H1" s="112"/>
      <c r="I1" s="112"/>
    </row>
    <row r="2">
      <c r="A2" s="11" t="s">
        <v>15</v>
      </c>
      <c r="B2" s="9"/>
      <c r="C2" s="11" t="s">
        <v>114</v>
      </c>
      <c r="D2" s="9"/>
      <c r="E2" s="11" t="s">
        <v>115</v>
      </c>
      <c r="F2" s="11"/>
      <c r="H2" s="9"/>
      <c r="I2" s="9"/>
    </row>
    <row r="3">
      <c r="D3" s="11"/>
      <c r="E3" s="11"/>
      <c r="F3" s="11"/>
      <c r="H3" s="9"/>
      <c r="I3" s="9"/>
    </row>
    <row r="4">
      <c r="A4" s="113"/>
      <c r="B4" s="114" t="s">
        <v>397</v>
      </c>
      <c r="E4" s="115" t="s">
        <v>398</v>
      </c>
      <c r="N4" s="23" t="s">
        <v>399</v>
      </c>
    </row>
    <row r="5">
      <c r="A5" s="116" t="s">
        <v>1</v>
      </c>
      <c r="B5" s="117" t="s">
        <v>22</v>
      </c>
      <c r="C5" s="117" t="s">
        <v>400</v>
      </c>
      <c r="D5" s="117" t="s">
        <v>401</v>
      </c>
      <c r="E5" s="117" t="s">
        <v>23</v>
      </c>
      <c r="F5" s="117" t="s">
        <v>20</v>
      </c>
      <c r="G5" s="117" t="s">
        <v>402</v>
      </c>
      <c r="H5" s="117" t="s">
        <v>403</v>
      </c>
      <c r="I5" s="117" t="s">
        <v>404</v>
      </c>
      <c r="J5" s="117" t="s">
        <v>167</v>
      </c>
      <c r="K5" s="117" t="s">
        <v>168</v>
      </c>
      <c r="L5" s="117" t="s">
        <v>405</v>
      </c>
      <c r="M5" s="117" t="s">
        <v>406</v>
      </c>
      <c r="N5" s="117" t="s">
        <v>210</v>
      </c>
      <c r="O5" s="118"/>
      <c r="P5" s="118"/>
      <c r="Q5" s="118"/>
      <c r="R5" s="118"/>
      <c r="S5" s="118"/>
      <c r="T5" s="118"/>
      <c r="U5" s="118"/>
      <c r="V5" s="118"/>
      <c r="W5" s="118"/>
      <c r="X5" s="118"/>
      <c r="Y5" s="118"/>
      <c r="Z5" s="118"/>
      <c r="AA5" s="118"/>
      <c r="AB5" s="118"/>
      <c r="AC5" s="118"/>
    </row>
    <row r="6">
      <c r="A6" s="119" t="s">
        <v>407</v>
      </c>
      <c r="B6" s="120" t="s">
        <v>408</v>
      </c>
      <c r="C6" s="121" t="s">
        <v>409</v>
      </c>
      <c r="D6" s="119" t="s">
        <v>410</v>
      </c>
      <c r="E6" s="119" t="s">
        <v>411</v>
      </c>
      <c r="F6" s="121" t="s">
        <v>412</v>
      </c>
      <c r="G6" s="121" t="s">
        <v>413</v>
      </c>
      <c r="H6" s="121" t="s">
        <v>414</v>
      </c>
      <c r="I6" s="121" t="s">
        <v>415</v>
      </c>
      <c r="J6" s="121" t="s">
        <v>416</v>
      </c>
      <c r="K6" s="121" t="s">
        <v>417</v>
      </c>
      <c r="L6" s="121" t="s">
        <v>418</v>
      </c>
      <c r="M6" s="121" t="s">
        <v>419</v>
      </c>
      <c r="N6" s="119" t="s">
        <v>399</v>
      </c>
      <c r="O6" s="122"/>
      <c r="P6" s="122"/>
      <c r="Q6" s="122"/>
      <c r="R6" s="122"/>
      <c r="S6" s="122"/>
      <c r="T6" s="122"/>
      <c r="U6" s="122"/>
      <c r="V6" s="122"/>
      <c r="W6" s="122"/>
      <c r="X6" s="122"/>
      <c r="Y6" s="122"/>
      <c r="Z6" s="122"/>
      <c r="AA6" s="122"/>
      <c r="AB6" s="122"/>
      <c r="AC6" s="122"/>
    </row>
    <row r="7">
      <c r="A7" s="123">
        <v>1.0</v>
      </c>
      <c r="B7" s="124" t="s">
        <v>420</v>
      </c>
      <c r="C7" s="125" t="s">
        <v>421</v>
      </c>
      <c r="D7" s="126">
        <v>45575.0</v>
      </c>
      <c r="E7" s="127" t="s">
        <v>169</v>
      </c>
      <c r="F7" s="125" t="s">
        <v>422</v>
      </c>
      <c r="G7" s="128">
        <v>6.130000000000001</v>
      </c>
      <c r="H7" s="128">
        <v>0.32</v>
      </c>
      <c r="I7" s="128">
        <f>G7-H7</f>
        <v>5.81</v>
      </c>
      <c r="J7" s="127">
        <v>6810.0</v>
      </c>
      <c r="K7" s="127"/>
      <c r="L7" s="127"/>
      <c r="M7" s="127"/>
      <c r="N7" s="127"/>
    </row>
    <row r="8">
      <c r="A8" s="123"/>
      <c r="B8" s="124"/>
      <c r="C8" s="125"/>
      <c r="D8" s="126"/>
      <c r="E8" s="125"/>
      <c r="F8" s="125"/>
      <c r="G8" s="125"/>
      <c r="H8" s="125"/>
      <c r="I8" s="128"/>
      <c r="J8" s="125"/>
      <c r="K8" s="125"/>
      <c r="L8" s="125"/>
      <c r="M8" s="125"/>
      <c r="N8" s="125"/>
    </row>
    <row r="9">
      <c r="A9" s="123"/>
      <c r="B9" s="124"/>
      <c r="C9" s="125"/>
      <c r="D9" s="126"/>
      <c r="E9" s="125"/>
      <c r="F9" s="125"/>
      <c r="G9" s="125"/>
      <c r="H9" s="125"/>
      <c r="I9" s="128"/>
      <c r="J9" s="125"/>
      <c r="K9" s="125"/>
      <c r="L9" s="125"/>
      <c r="M9" s="125"/>
      <c r="N9" s="125"/>
    </row>
    <row r="10">
      <c r="A10" s="123">
        <v>2.0</v>
      </c>
      <c r="B10" s="124" t="s">
        <v>423</v>
      </c>
      <c r="C10" s="125" t="s">
        <v>424</v>
      </c>
      <c r="D10" s="126">
        <v>45575.0</v>
      </c>
      <c r="E10" s="125" t="s">
        <v>179</v>
      </c>
      <c r="F10" s="125" t="s">
        <v>422</v>
      </c>
      <c r="G10" s="125">
        <v>8.329</v>
      </c>
      <c r="H10" s="125">
        <v>1.2</v>
      </c>
      <c r="I10" s="128">
        <f>G10-H10</f>
        <v>7.129</v>
      </c>
      <c r="J10" s="125"/>
      <c r="K10" s="125"/>
      <c r="L10" s="125"/>
      <c r="M10" s="125"/>
      <c r="N10" s="125"/>
    </row>
    <row r="11">
      <c r="A11" s="123"/>
      <c r="B11" s="124"/>
      <c r="C11" s="125"/>
      <c r="D11" s="126"/>
      <c r="E11" s="125"/>
      <c r="F11" s="125"/>
      <c r="G11" s="125"/>
      <c r="H11" s="125"/>
      <c r="I11" s="128"/>
      <c r="J11" s="125"/>
      <c r="K11" s="125"/>
      <c r="L11" s="125"/>
      <c r="M11" s="125"/>
      <c r="N11" s="125"/>
    </row>
    <row r="12">
      <c r="A12" s="123"/>
      <c r="B12" s="124"/>
      <c r="C12" s="125"/>
      <c r="D12" s="126"/>
      <c r="E12" s="125"/>
      <c r="F12" s="125"/>
      <c r="G12" s="125"/>
      <c r="H12" s="125"/>
      <c r="I12" s="128"/>
      <c r="J12" s="125"/>
      <c r="K12" s="125"/>
      <c r="L12" s="125"/>
      <c r="M12" s="125"/>
      <c r="N12" s="125"/>
    </row>
    <row r="13">
      <c r="A13" s="123">
        <v>3.0</v>
      </c>
      <c r="B13" s="124" t="s">
        <v>425</v>
      </c>
      <c r="C13" s="125" t="s">
        <v>426</v>
      </c>
      <c r="D13" s="126">
        <v>45575.0</v>
      </c>
      <c r="E13" s="125" t="s">
        <v>427</v>
      </c>
      <c r="F13" s="125" t="s">
        <v>428</v>
      </c>
      <c r="G13" s="125">
        <v>12.43</v>
      </c>
      <c r="H13" s="125">
        <v>0.872</v>
      </c>
      <c r="I13" s="128">
        <f>G13-H13</f>
        <v>11.558</v>
      </c>
      <c r="J13" s="125"/>
      <c r="K13" s="125"/>
      <c r="L13" s="125"/>
      <c r="M13" s="125"/>
      <c r="N13" s="125"/>
    </row>
    <row r="14">
      <c r="A14" s="123"/>
      <c r="B14" s="124"/>
      <c r="C14" s="125"/>
      <c r="D14" s="129"/>
      <c r="E14" s="125"/>
      <c r="F14" s="130" t="s">
        <v>429</v>
      </c>
      <c r="G14" s="125"/>
      <c r="H14" s="131"/>
      <c r="I14" s="132"/>
      <c r="J14" s="125"/>
      <c r="K14" s="125"/>
      <c r="L14" s="125"/>
      <c r="M14" s="125"/>
      <c r="N14" s="125"/>
    </row>
    <row r="19">
      <c r="B19" s="41" t="s">
        <v>430</v>
      </c>
    </row>
    <row r="20">
      <c r="B20" s="19" t="s">
        <v>431</v>
      </c>
    </row>
    <row r="21">
      <c r="B21" s="19" t="s">
        <v>432</v>
      </c>
    </row>
  </sheetData>
  <mergeCells count="2">
    <mergeCell ref="B4:D4"/>
    <mergeCell ref="E4:M4"/>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57"/>
    <col customWidth="1" min="2" max="2" width="17.14"/>
    <col customWidth="1" min="3" max="3" width="17.29"/>
    <col customWidth="1" min="4" max="4" width="17.86"/>
    <col customWidth="1" min="5" max="5" width="21.43"/>
    <col customWidth="1" min="6" max="6" width="27.57"/>
    <col customWidth="1" min="7" max="19" width="20.14"/>
    <col customWidth="1" min="20" max="20" width="22.29"/>
  </cols>
  <sheetData>
    <row r="1">
      <c r="A1" s="111" t="s">
        <v>396</v>
      </c>
      <c r="B1" s="112"/>
      <c r="C1" s="112"/>
      <c r="D1" s="112"/>
      <c r="E1" s="112"/>
      <c r="F1" s="112"/>
      <c r="G1" s="112"/>
      <c r="H1" s="112"/>
      <c r="I1" s="112"/>
    </row>
    <row r="2">
      <c r="A2" s="11" t="s">
        <v>15</v>
      </c>
      <c r="B2" s="9"/>
      <c r="C2" s="11" t="s">
        <v>114</v>
      </c>
      <c r="D2" s="9"/>
      <c r="E2" s="11" t="s">
        <v>115</v>
      </c>
      <c r="F2" s="11"/>
      <c r="H2" s="9"/>
      <c r="I2" s="9"/>
    </row>
    <row r="3">
      <c r="D3" s="11"/>
      <c r="E3" s="11"/>
      <c r="F3" s="11"/>
      <c r="H3" s="9"/>
      <c r="I3" s="9"/>
    </row>
    <row r="4">
      <c r="A4" s="113"/>
      <c r="B4" s="9"/>
      <c r="C4" s="9"/>
      <c r="D4" s="9"/>
      <c r="E4" s="9"/>
      <c r="F4" s="9"/>
      <c r="G4" s="9"/>
      <c r="H4" s="9"/>
      <c r="I4" s="9"/>
    </row>
    <row r="5">
      <c r="A5" s="116" t="s">
        <v>1</v>
      </c>
      <c r="B5" s="117" t="s">
        <v>22</v>
      </c>
      <c r="C5" s="117" t="s">
        <v>400</v>
      </c>
      <c r="D5" s="117" t="s">
        <v>401</v>
      </c>
      <c r="E5" s="117" t="s">
        <v>23</v>
      </c>
      <c r="F5" s="117" t="s">
        <v>20</v>
      </c>
      <c r="G5" s="117" t="s">
        <v>402</v>
      </c>
      <c r="H5" s="117" t="s">
        <v>403</v>
      </c>
      <c r="I5" s="117" t="s">
        <v>404</v>
      </c>
      <c r="J5" s="117" t="s">
        <v>167</v>
      </c>
      <c r="K5" s="117" t="s">
        <v>168</v>
      </c>
      <c r="L5" s="117" t="s">
        <v>405</v>
      </c>
      <c r="M5" s="117" t="s">
        <v>406</v>
      </c>
      <c r="N5" s="117" t="s">
        <v>433</v>
      </c>
      <c r="O5" s="117" t="s">
        <v>434</v>
      </c>
      <c r="P5" s="117" t="s">
        <v>435</v>
      </c>
      <c r="Q5" s="117" t="s">
        <v>436</v>
      </c>
      <c r="R5" s="117" t="s">
        <v>437</v>
      </c>
      <c r="S5" s="117" t="s">
        <v>438</v>
      </c>
      <c r="T5" s="117" t="s">
        <v>210</v>
      </c>
      <c r="U5" s="118"/>
      <c r="V5" s="118"/>
      <c r="W5" s="118"/>
      <c r="X5" s="118"/>
      <c r="Y5" s="118"/>
      <c r="Z5" s="118"/>
      <c r="AA5" s="118"/>
      <c r="AB5" s="118"/>
      <c r="AC5" s="118"/>
      <c r="AD5" s="118"/>
      <c r="AE5" s="118"/>
      <c r="AF5" s="118"/>
      <c r="AG5" s="118"/>
      <c r="AH5" s="118"/>
      <c r="AI5" s="118"/>
    </row>
    <row r="6">
      <c r="A6" s="119" t="s">
        <v>407</v>
      </c>
      <c r="B6" s="120" t="s">
        <v>408</v>
      </c>
      <c r="C6" s="121" t="s">
        <v>409</v>
      </c>
      <c r="D6" s="119" t="s">
        <v>410</v>
      </c>
      <c r="E6" s="119" t="s">
        <v>411</v>
      </c>
      <c r="F6" s="121" t="s">
        <v>412</v>
      </c>
      <c r="G6" s="121" t="s">
        <v>413</v>
      </c>
      <c r="H6" s="121" t="s">
        <v>414</v>
      </c>
      <c r="I6" s="121" t="s">
        <v>415</v>
      </c>
      <c r="J6" s="121" t="s">
        <v>416</v>
      </c>
      <c r="K6" s="121" t="s">
        <v>417</v>
      </c>
      <c r="L6" s="121" t="s">
        <v>418</v>
      </c>
      <c r="M6" s="121" t="s">
        <v>419</v>
      </c>
      <c r="N6" s="121" t="s">
        <v>439</v>
      </c>
      <c r="O6" s="121" t="s">
        <v>440</v>
      </c>
      <c r="P6" s="121" t="s">
        <v>441</v>
      </c>
      <c r="Q6" s="121" t="s">
        <v>442</v>
      </c>
      <c r="R6" s="121" t="s">
        <v>443</v>
      </c>
      <c r="S6" s="121" t="s">
        <v>444</v>
      </c>
      <c r="T6" s="119" t="s">
        <v>399</v>
      </c>
      <c r="U6" s="122"/>
      <c r="V6" s="122"/>
      <c r="W6" s="122"/>
      <c r="X6" s="122"/>
      <c r="Y6" s="122"/>
      <c r="Z6" s="122"/>
      <c r="AA6" s="122"/>
      <c r="AB6" s="122"/>
      <c r="AC6" s="122"/>
      <c r="AD6" s="122"/>
      <c r="AE6" s="122"/>
      <c r="AF6" s="122"/>
      <c r="AG6" s="122"/>
      <c r="AH6" s="122"/>
      <c r="AI6" s="122"/>
    </row>
    <row r="7">
      <c r="A7" s="123">
        <v>1.0</v>
      </c>
      <c r="B7" s="124" t="s">
        <v>420</v>
      </c>
      <c r="C7" s="125" t="s">
        <v>421</v>
      </c>
      <c r="D7" s="126">
        <v>45575.0</v>
      </c>
      <c r="E7" s="127" t="s">
        <v>169</v>
      </c>
      <c r="F7" s="125" t="s">
        <v>422</v>
      </c>
      <c r="G7" s="128">
        <v>6.130000000000001</v>
      </c>
      <c r="H7" s="128">
        <v>0.32</v>
      </c>
      <c r="I7" s="128">
        <f>G7-H7</f>
        <v>5.81</v>
      </c>
      <c r="J7" s="127">
        <v>6810.0</v>
      </c>
      <c r="K7" s="128">
        <v>6.130000000000001</v>
      </c>
      <c r="L7" s="128">
        <v>0.32</v>
      </c>
      <c r="M7" s="128">
        <f>K7-L7</f>
        <v>5.81</v>
      </c>
      <c r="N7" s="127">
        <v>6810.0</v>
      </c>
      <c r="O7" s="128">
        <v>6.130000000000001</v>
      </c>
      <c r="P7" s="128">
        <v>0.32</v>
      </c>
      <c r="Q7" s="125">
        <v>3.0</v>
      </c>
      <c r="R7" s="127">
        <v>6810.0</v>
      </c>
      <c r="S7" s="127">
        <v>6810.0</v>
      </c>
      <c r="T7" s="127"/>
    </row>
    <row r="8">
      <c r="A8" s="123"/>
      <c r="B8" s="124"/>
      <c r="C8" s="125"/>
      <c r="D8" s="126"/>
      <c r="E8" s="125"/>
      <c r="F8" s="125"/>
      <c r="G8" s="125"/>
      <c r="H8" s="125"/>
      <c r="I8" s="128"/>
      <c r="J8" s="125"/>
      <c r="K8" s="125"/>
      <c r="L8" s="125"/>
      <c r="M8" s="125"/>
      <c r="N8" s="125"/>
      <c r="O8" s="125"/>
      <c r="P8" s="125"/>
      <c r="Q8" s="129"/>
      <c r="R8" s="125"/>
      <c r="S8" s="125"/>
      <c r="T8" s="125"/>
    </row>
    <row r="9">
      <c r="A9" s="123"/>
      <c r="B9" s="124"/>
      <c r="C9" s="125"/>
      <c r="D9" s="126"/>
      <c r="E9" s="125"/>
      <c r="F9" s="125"/>
      <c r="G9" s="125"/>
      <c r="H9" s="125"/>
      <c r="I9" s="128"/>
      <c r="J9" s="125"/>
      <c r="K9" s="125"/>
      <c r="L9" s="125"/>
      <c r="M9" s="125"/>
      <c r="N9" s="125"/>
      <c r="O9" s="125"/>
      <c r="P9" s="125"/>
      <c r="Q9" s="129"/>
      <c r="R9" s="125"/>
      <c r="S9" s="125"/>
      <c r="T9" s="125"/>
    </row>
    <row r="10">
      <c r="A10" s="123">
        <v>2.0</v>
      </c>
      <c r="B10" s="124" t="s">
        <v>423</v>
      </c>
      <c r="C10" s="125" t="s">
        <v>424</v>
      </c>
      <c r="D10" s="126">
        <v>45575.0</v>
      </c>
      <c r="E10" s="125" t="s">
        <v>179</v>
      </c>
      <c r="F10" s="125" t="s">
        <v>422</v>
      </c>
      <c r="G10" s="125">
        <v>8.329</v>
      </c>
      <c r="H10" s="125">
        <v>1.2</v>
      </c>
      <c r="I10" s="128">
        <f>G10-H10</f>
        <v>7.129</v>
      </c>
      <c r="J10" s="125"/>
      <c r="K10" s="125"/>
      <c r="L10" s="125"/>
      <c r="M10" s="125"/>
      <c r="N10" s="125"/>
      <c r="O10" s="125"/>
      <c r="P10" s="125"/>
      <c r="Q10" s="129">
        <v>3.0</v>
      </c>
      <c r="R10" s="125"/>
      <c r="S10" s="125"/>
      <c r="T10" s="125"/>
    </row>
    <row r="11">
      <c r="A11" s="123"/>
      <c r="B11" s="124"/>
      <c r="C11" s="125"/>
      <c r="D11" s="126"/>
      <c r="E11" s="125"/>
      <c r="F11" s="125"/>
      <c r="G11" s="125"/>
      <c r="H11" s="125"/>
      <c r="I11" s="128"/>
      <c r="J11" s="125"/>
      <c r="K11" s="125"/>
      <c r="L11" s="125"/>
      <c r="M11" s="125"/>
      <c r="N11" s="125"/>
      <c r="O11" s="125"/>
      <c r="P11" s="125"/>
      <c r="Q11" s="129"/>
      <c r="R11" s="125"/>
      <c r="S11" s="125"/>
      <c r="T11" s="125"/>
    </row>
    <row r="12">
      <c r="A12" s="123"/>
      <c r="B12" s="124"/>
      <c r="C12" s="125"/>
      <c r="D12" s="126"/>
      <c r="E12" s="125"/>
      <c r="F12" s="125"/>
      <c r="G12" s="125"/>
      <c r="H12" s="125"/>
      <c r="I12" s="128"/>
      <c r="J12" s="125"/>
      <c r="K12" s="125"/>
      <c r="L12" s="125"/>
      <c r="M12" s="125"/>
      <c r="N12" s="125"/>
      <c r="O12" s="125"/>
      <c r="P12" s="125"/>
      <c r="Q12" s="129"/>
      <c r="R12" s="125"/>
      <c r="S12" s="125"/>
      <c r="T12" s="125"/>
    </row>
    <row r="13">
      <c r="A13" s="123">
        <v>3.0</v>
      </c>
      <c r="B13" s="124" t="s">
        <v>425</v>
      </c>
      <c r="C13" s="125" t="s">
        <v>426</v>
      </c>
      <c r="D13" s="126">
        <v>45575.0</v>
      </c>
      <c r="E13" s="125" t="s">
        <v>427</v>
      </c>
      <c r="F13" s="125" t="s">
        <v>428</v>
      </c>
      <c r="G13" s="125">
        <v>12.43</v>
      </c>
      <c r="H13" s="125">
        <v>0.872</v>
      </c>
      <c r="I13" s="128">
        <f>G13-H13</f>
        <v>11.558</v>
      </c>
      <c r="J13" s="125"/>
      <c r="K13" s="125"/>
      <c r="L13" s="125"/>
      <c r="M13" s="125"/>
      <c r="N13" s="125"/>
      <c r="O13" s="125"/>
      <c r="P13" s="125"/>
      <c r="Q13" s="129">
        <v>2.0</v>
      </c>
      <c r="R13" s="125"/>
      <c r="S13" s="125"/>
      <c r="T13" s="125"/>
    </row>
    <row r="14">
      <c r="A14" s="123"/>
      <c r="B14" s="124"/>
      <c r="C14" s="125"/>
      <c r="D14" s="129"/>
      <c r="E14" s="125"/>
      <c r="F14" s="130" t="s">
        <v>429</v>
      </c>
      <c r="G14" s="125"/>
      <c r="H14" s="131"/>
      <c r="I14" s="132"/>
      <c r="J14" s="125"/>
      <c r="K14" s="125"/>
      <c r="L14" s="125"/>
      <c r="M14" s="125"/>
      <c r="N14" s="125"/>
      <c r="O14" s="125"/>
      <c r="P14" s="125"/>
      <c r="Q14" s="125"/>
      <c r="R14" s="125"/>
      <c r="S14" s="125"/>
      <c r="T14" s="125"/>
    </row>
    <row r="19">
      <c r="B19" s="41" t="s">
        <v>430</v>
      </c>
    </row>
    <row r="20">
      <c r="B20" s="19" t="s">
        <v>431</v>
      </c>
    </row>
    <row r="21">
      <c r="B21" s="19" t="s">
        <v>432</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0.29"/>
    <col customWidth="1" min="5" max="5" width="25.86"/>
    <col customWidth="1" min="6" max="6" width="29.57"/>
    <col customWidth="1" min="7" max="7" width="54.71"/>
    <col customWidth="1" min="8" max="8" width="25.71"/>
    <col customWidth="1" min="9" max="9" width="19.14"/>
    <col customWidth="1" min="10" max="10" width="18.14"/>
    <col customWidth="1" min="11" max="11" width="19.29"/>
    <col customWidth="1" min="13" max="13" width="21.14"/>
    <col customWidth="1" min="14" max="14" width="24.57"/>
    <col customWidth="1" min="15" max="15" width="25.57"/>
  </cols>
  <sheetData>
    <row r="1">
      <c r="A1" s="41" t="s">
        <v>445</v>
      </c>
    </row>
    <row r="2">
      <c r="A2" s="19" t="s">
        <v>446</v>
      </c>
      <c r="H2" s="19"/>
    </row>
    <row r="3">
      <c r="A3" s="19" t="s">
        <v>447</v>
      </c>
      <c r="H3" s="19"/>
    </row>
    <row r="4">
      <c r="A4" s="19" t="s">
        <v>448</v>
      </c>
      <c r="H4" s="19"/>
    </row>
    <row r="6">
      <c r="A6" s="19" t="s">
        <v>449</v>
      </c>
      <c r="H6" s="19"/>
    </row>
    <row r="8">
      <c r="A8" s="19" t="s">
        <v>450</v>
      </c>
      <c r="H8" s="19"/>
    </row>
    <row r="10">
      <c r="A10" s="19" t="s">
        <v>451</v>
      </c>
      <c r="H10" s="19"/>
    </row>
    <row r="11">
      <c r="A11" s="19" t="s">
        <v>452</v>
      </c>
      <c r="B11" s="19" t="s">
        <v>453</v>
      </c>
      <c r="C11" s="19" t="s">
        <v>20</v>
      </c>
      <c r="D11" s="19" t="s">
        <v>436</v>
      </c>
      <c r="E11" s="89" t="s">
        <v>454</v>
      </c>
      <c r="F11" s="89" t="s">
        <v>455</v>
      </c>
      <c r="G11" s="89" t="s">
        <v>456</v>
      </c>
      <c r="H11" s="133" t="s">
        <v>457</v>
      </c>
      <c r="I11" s="89" t="s">
        <v>458</v>
      </c>
      <c r="J11" s="89" t="s">
        <v>459</v>
      </c>
      <c r="K11" s="89" t="s">
        <v>460</v>
      </c>
      <c r="L11" s="19" t="s">
        <v>461</v>
      </c>
      <c r="M11" s="89" t="s">
        <v>462</v>
      </c>
      <c r="N11" s="89" t="s">
        <v>463</v>
      </c>
      <c r="O11" s="89" t="s">
        <v>464</v>
      </c>
      <c r="P11" s="134" t="s">
        <v>167</v>
      </c>
      <c r="Q11" s="134" t="s">
        <v>168</v>
      </c>
      <c r="R11" s="134" t="s">
        <v>465</v>
      </c>
    </row>
    <row r="12">
      <c r="P12" s="19" t="s">
        <v>466</v>
      </c>
    </row>
    <row r="16">
      <c r="A16" s="41" t="s">
        <v>378</v>
      </c>
      <c r="B16" s="110"/>
      <c r="C16" s="41"/>
      <c r="D16" s="41" t="s">
        <v>148</v>
      </c>
      <c r="E16" s="41" t="s">
        <v>467</v>
      </c>
    </row>
    <row r="17">
      <c r="A17" s="19" t="s">
        <v>468</v>
      </c>
      <c r="D17" s="19" t="s">
        <v>381</v>
      </c>
    </row>
    <row r="18">
      <c r="A18" s="19" t="s">
        <v>469</v>
      </c>
      <c r="D18" s="19" t="s">
        <v>381</v>
      </c>
    </row>
    <row r="19">
      <c r="A19" s="19" t="s">
        <v>470</v>
      </c>
      <c r="D19" s="19" t="s">
        <v>381</v>
      </c>
      <c r="E19" s="19" t="s">
        <v>471</v>
      </c>
    </row>
    <row r="20">
      <c r="A20" s="19" t="s">
        <v>472</v>
      </c>
      <c r="D20" s="19" t="s">
        <v>381</v>
      </c>
      <c r="E20" s="19" t="s">
        <v>473</v>
      </c>
    </row>
    <row r="21">
      <c r="A21" s="19" t="s">
        <v>474</v>
      </c>
      <c r="D21" s="19" t="s">
        <v>381</v>
      </c>
    </row>
  </sheetData>
  <mergeCells count="6">
    <mergeCell ref="A2:G2"/>
    <mergeCell ref="A3:G3"/>
    <mergeCell ref="A4:G4"/>
    <mergeCell ref="A6:G6"/>
    <mergeCell ref="A8:G8"/>
    <mergeCell ref="A10:G10"/>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43"/>
    <col customWidth="1" min="2" max="3" width="16.57"/>
    <col customWidth="1" min="4" max="4" width="14.0"/>
    <col customWidth="1" min="5" max="5" width="19.0"/>
    <col customWidth="1" min="6" max="6" width="31.0"/>
    <col customWidth="1" min="7" max="7" width="15.0"/>
    <col customWidth="1" min="8" max="8" width="17.29"/>
    <col customWidth="1" min="9" max="9" width="17.57"/>
    <col customWidth="1" min="10" max="10" width="13.71"/>
    <col customWidth="1" min="11" max="11" width="39.29"/>
    <col customWidth="1" min="12" max="12" width="26.0"/>
    <col customWidth="1" min="13" max="14" width="9.14"/>
    <col customWidth="1" min="15" max="21" width="8.71"/>
  </cols>
  <sheetData>
    <row r="1">
      <c r="A1" s="135" t="s">
        <v>475</v>
      </c>
      <c r="O1" s="136"/>
      <c r="P1" s="136"/>
      <c r="Q1" s="136"/>
      <c r="R1" s="136"/>
      <c r="S1" s="136"/>
      <c r="T1" s="136"/>
      <c r="U1" s="136"/>
    </row>
    <row r="2">
      <c r="A2" s="46" t="s">
        <v>1</v>
      </c>
      <c r="B2" s="47" t="s">
        <v>476</v>
      </c>
      <c r="C2" s="47" t="s">
        <v>477</v>
      </c>
      <c r="D2" s="47" t="s">
        <v>478</v>
      </c>
      <c r="E2" s="47" t="s">
        <v>479</v>
      </c>
      <c r="F2" s="47" t="s">
        <v>2</v>
      </c>
      <c r="G2" s="137" t="s">
        <v>4</v>
      </c>
      <c r="H2" s="47" t="s">
        <v>5</v>
      </c>
      <c r="I2" s="46" t="s">
        <v>480</v>
      </c>
      <c r="J2" s="47" t="s">
        <v>95</v>
      </c>
      <c r="K2" s="47" t="s">
        <v>93</v>
      </c>
      <c r="L2" s="47" t="s">
        <v>7</v>
      </c>
      <c r="M2" s="138"/>
      <c r="N2" s="138"/>
      <c r="O2" s="138"/>
      <c r="P2" s="138"/>
      <c r="Q2" s="138"/>
      <c r="R2" s="138"/>
      <c r="S2" s="138"/>
      <c r="T2" s="138"/>
      <c r="U2" s="138"/>
    </row>
    <row r="3">
      <c r="A3" s="139"/>
      <c r="B3" s="140" t="s">
        <v>481</v>
      </c>
      <c r="C3" s="140" t="s">
        <v>482</v>
      </c>
      <c r="D3" s="140" t="s">
        <v>483</v>
      </c>
      <c r="E3" s="140" t="s">
        <v>484</v>
      </c>
      <c r="F3" s="140" t="s">
        <v>485</v>
      </c>
      <c r="G3" s="140"/>
      <c r="H3" s="141"/>
      <c r="I3" s="142"/>
      <c r="J3" s="140"/>
      <c r="K3" s="140"/>
      <c r="L3" s="140"/>
      <c r="M3" s="143"/>
      <c r="N3" s="143"/>
      <c r="O3" s="143"/>
      <c r="P3" s="143"/>
      <c r="Q3" s="143"/>
      <c r="R3" s="143"/>
      <c r="S3" s="143"/>
      <c r="T3" s="143"/>
      <c r="U3" s="143"/>
    </row>
    <row r="4">
      <c r="A4" s="144">
        <v>1.0</v>
      </c>
      <c r="B4" s="49" t="s">
        <v>15</v>
      </c>
      <c r="C4" s="49" t="s">
        <v>15</v>
      </c>
      <c r="D4" s="49" t="s">
        <v>92</v>
      </c>
      <c r="E4" s="49" t="s">
        <v>263</v>
      </c>
      <c r="F4" s="145" t="s">
        <v>486</v>
      </c>
      <c r="G4" s="49"/>
      <c r="H4" s="144"/>
      <c r="I4" s="146"/>
      <c r="J4" s="144"/>
      <c r="K4" s="147"/>
      <c r="L4" s="49"/>
      <c r="M4" s="136"/>
      <c r="N4" s="136"/>
      <c r="O4" s="136"/>
      <c r="P4" s="136"/>
      <c r="Q4" s="136"/>
      <c r="R4" s="136"/>
      <c r="S4" s="136"/>
      <c r="T4" s="136"/>
      <c r="U4" s="136"/>
    </row>
    <row r="5">
      <c r="A5" s="144">
        <v>2.0</v>
      </c>
      <c r="B5" s="49"/>
      <c r="C5" s="49"/>
      <c r="D5" s="49" t="s">
        <v>92</v>
      </c>
      <c r="E5" s="49" t="s">
        <v>487</v>
      </c>
      <c r="F5" s="145"/>
      <c r="G5" s="49"/>
      <c r="H5" s="144"/>
      <c r="I5" s="146"/>
      <c r="J5" s="144"/>
      <c r="K5" s="49"/>
      <c r="L5" s="49"/>
      <c r="M5" s="136"/>
      <c r="N5" s="136"/>
      <c r="O5" s="136"/>
      <c r="P5" s="136"/>
      <c r="Q5" s="136"/>
      <c r="R5" s="136"/>
      <c r="S5" s="136"/>
      <c r="T5" s="136"/>
      <c r="U5" s="136"/>
    </row>
    <row r="6">
      <c r="A6" s="144">
        <v>3.0</v>
      </c>
      <c r="B6" s="49"/>
      <c r="C6" s="49"/>
      <c r="D6" s="49" t="s">
        <v>92</v>
      </c>
      <c r="E6" s="49" t="s">
        <v>267</v>
      </c>
      <c r="F6" s="145"/>
      <c r="G6" s="49"/>
      <c r="H6" s="144"/>
      <c r="I6" s="148"/>
      <c r="J6" s="144"/>
      <c r="K6" s="49"/>
      <c r="L6" s="49"/>
      <c r="M6" s="136"/>
      <c r="N6" s="136"/>
      <c r="O6" s="136"/>
      <c r="P6" s="136"/>
      <c r="Q6" s="136"/>
      <c r="R6" s="136"/>
      <c r="S6" s="136"/>
      <c r="T6" s="136"/>
      <c r="U6" s="136"/>
    </row>
    <row r="7">
      <c r="A7" s="144">
        <v>4.0</v>
      </c>
      <c r="B7" s="49"/>
      <c r="C7" s="49"/>
      <c r="D7" s="49" t="s">
        <v>488</v>
      </c>
      <c r="E7" s="49" t="s">
        <v>489</v>
      </c>
      <c r="F7" s="145" t="s">
        <v>490</v>
      </c>
      <c r="G7" s="49"/>
      <c r="H7" s="144"/>
      <c r="I7" s="148"/>
      <c r="J7" s="144"/>
      <c r="K7" s="49"/>
      <c r="L7" s="49"/>
      <c r="M7" s="136"/>
      <c r="N7" s="136"/>
      <c r="O7" s="136"/>
      <c r="P7" s="136"/>
      <c r="Q7" s="136"/>
      <c r="R7" s="136"/>
      <c r="S7" s="136"/>
      <c r="T7" s="136"/>
      <c r="U7" s="136"/>
    </row>
    <row r="8">
      <c r="A8" s="144">
        <v>5.0</v>
      </c>
      <c r="B8" s="49"/>
      <c r="C8" s="49"/>
      <c r="D8" s="49"/>
      <c r="E8" s="49"/>
      <c r="F8" s="49"/>
      <c r="G8" s="49"/>
      <c r="H8" s="144"/>
      <c r="I8" s="148"/>
      <c r="J8" s="144"/>
      <c r="K8" s="49"/>
      <c r="L8" s="49"/>
      <c r="M8" s="136"/>
      <c r="N8" s="136"/>
      <c r="O8" s="136"/>
      <c r="P8" s="136"/>
      <c r="Q8" s="136"/>
      <c r="R8" s="136"/>
      <c r="S8" s="136"/>
      <c r="T8" s="136"/>
      <c r="U8" s="136"/>
    </row>
    <row r="9">
      <c r="A9" s="144">
        <v>6.0</v>
      </c>
      <c r="B9" s="49"/>
      <c r="C9" s="49"/>
      <c r="D9" s="145"/>
      <c r="E9" s="145"/>
      <c r="F9" s="145"/>
      <c r="G9" s="49"/>
      <c r="H9" s="144"/>
      <c r="I9" s="49"/>
      <c r="J9" s="144"/>
      <c r="K9" s="49"/>
      <c r="L9" s="49"/>
      <c r="M9" s="136"/>
      <c r="N9" s="136"/>
      <c r="O9" s="136"/>
      <c r="P9" s="136"/>
      <c r="Q9" s="136"/>
      <c r="R9" s="136"/>
      <c r="S9" s="136"/>
      <c r="T9" s="136"/>
      <c r="U9" s="136"/>
    </row>
    <row r="10">
      <c r="A10" s="144">
        <v>7.0</v>
      </c>
      <c r="B10" s="49"/>
      <c r="C10" s="49"/>
      <c r="D10" s="49"/>
      <c r="E10" s="49"/>
      <c r="F10" s="49"/>
      <c r="G10" s="49"/>
      <c r="H10" s="144"/>
      <c r="I10" s="148"/>
      <c r="J10" s="144"/>
      <c r="K10" s="49"/>
      <c r="L10" s="49"/>
      <c r="M10" s="136"/>
      <c r="N10" s="136"/>
      <c r="O10" s="136"/>
      <c r="P10" s="136"/>
      <c r="Q10" s="136"/>
      <c r="R10" s="136"/>
      <c r="S10" s="136"/>
      <c r="T10" s="136"/>
      <c r="U10" s="136"/>
    </row>
    <row r="11">
      <c r="A11" s="144">
        <v>8.0</v>
      </c>
      <c r="B11" s="49"/>
      <c r="C11" s="49"/>
      <c r="D11" s="49"/>
      <c r="E11" s="49"/>
      <c r="F11" s="49"/>
      <c r="G11" s="49"/>
      <c r="H11" s="144"/>
      <c r="I11" s="148"/>
      <c r="J11" s="144"/>
      <c r="K11" s="49"/>
      <c r="L11" s="49"/>
      <c r="M11" s="136"/>
      <c r="N11" s="136"/>
      <c r="O11" s="136"/>
      <c r="P11" s="136"/>
      <c r="Q11" s="136"/>
      <c r="R11" s="136"/>
      <c r="S11" s="136"/>
      <c r="T11" s="136"/>
      <c r="U11" s="136"/>
    </row>
    <row r="12">
      <c r="A12" s="144">
        <v>9.0</v>
      </c>
      <c r="B12" s="49"/>
      <c r="C12" s="49"/>
      <c r="D12" s="49"/>
      <c r="E12" s="49"/>
      <c r="F12" s="49"/>
      <c r="G12" s="49"/>
      <c r="H12" s="144"/>
      <c r="I12" s="49"/>
      <c r="J12" s="144"/>
      <c r="K12" s="49"/>
      <c r="L12" s="49"/>
      <c r="M12" s="149"/>
      <c r="N12" s="149"/>
      <c r="O12" s="149"/>
      <c r="P12" s="149"/>
      <c r="Q12" s="149"/>
      <c r="R12" s="149"/>
      <c r="S12" s="149"/>
      <c r="T12" s="149"/>
      <c r="U12" s="149"/>
    </row>
    <row r="13">
      <c r="A13" s="144">
        <v>10.0</v>
      </c>
      <c r="B13" s="49"/>
      <c r="C13" s="49"/>
      <c r="D13" s="49"/>
      <c r="E13" s="49"/>
      <c r="F13" s="49"/>
      <c r="G13" s="49"/>
      <c r="H13" s="144"/>
      <c r="I13" s="49"/>
      <c r="J13" s="144"/>
      <c r="K13" s="49"/>
      <c r="L13" s="49"/>
      <c r="M13" s="149"/>
      <c r="N13" s="149"/>
      <c r="O13" s="149"/>
      <c r="P13" s="149"/>
      <c r="Q13" s="149"/>
      <c r="R13" s="149"/>
      <c r="S13" s="149"/>
      <c r="T13" s="149"/>
      <c r="U13" s="149"/>
    </row>
    <row r="14">
      <c r="A14" s="144">
        <v>11.0</v>
      </c>
      <c r="B14" s="49"/>
      <c r="C14" s="49"/>
      <c r="D14" s="49"/>
      <c r="E14" s="49"/>
      <c r="F14" s="49"/>
      <c r="G14" s="49"/>
      <c r="H14" s="144"/>
      <c r="I14" s="148"/>
      <c r="J14" s="144"/>
      <c r="K14" s="49"/>
      <c r="L14" s="49"/>
      <c r="M14" s="136"/>
      <c r="N14" s="136"/>
      <c r="O14" s="136"/>
      <c r="P14" s="136"/>
      <c r="Q14" s="136"/>
      <c r="R14" s="136"/>
      <c r="S14" s="136"/>
      <c r="T14" s="136"/>
      <c r="U14" s="136"/>
    </row>
    <row r="15">
      <c r="A15" s="144">
        <v>12.0</v>
      </c>
      <c r="B15" s="49"/>
      <c r="C15" s="49"/>
      <c r="D15" s="49"/>
      <c r="E15" s="49"/>
      <c r="F15" s="49"/>
      <c r="G15" s="49"/>
      <c r="H15" s="144"/>
      <c r="I15" s="148"/>
      <c r="J15" s="144"/>
      <c r="K15" s="49"/>
      <c r="L15" s="49"/>
      <c r="M15" s="136"/>
      <c r="N15" s="136"/>
      <c r="O15" s="136"/>
      <c r="P15" s="136"/>
      <c r="Q15" s="136"/>
      <c r="R15" s="136"/>
      <c r="S15" s="136"/>
      <c r="T15" s="136"/>
      <c r="U15" s="136"/>
    </row>
    <row r="16">
      <c r="A16" s="144">
        <v>13.0</v>
      </c>
      <c r="B16" s="49"/>
      <c r="C16" s="49"/>
      <c r="D16" s="49"/>
      <c r="E16" s="49"/>
      <c r="F16" s="49"/>
      <c r="G16" s="49"/>
      <c r="H16" s="144"/>
      <c r="I16" s="148"/>
      <c r="J16" s="144"/>
      <c r="K16" s="49"/>
      <c r="L16" s="49"/>
      <c r="M16" s="136"/>
      <c r="N16" s="136"/>
      <c r="O16" s="136"/>
      <c r="P16" s="136"/>
      <c r="Q16" s="136"/>
      <c r="R16" s="136"/>
      <c r="S16" s="136"/>
      <c r="T16" s="136"/>
      <c r="U16" s="136"/>
    </row>
    <row r="17">
      <c r="A17" s="144">
        <v>14.0</v>
      </c>
      <c r="B17" s="49"/>
      <c r="C17" s="49"/>
      <c r="D17" s="49"/>
      <c r="E17" s="49"/>
      <c r="F17" s="49"/>
      <c r="G17" s="49"/>
      <c r="H17" s="144"/>
      <c r="I17" s="49"/>
      <c r="J17" s="144"/>
      <c r="K17" s="49"/>
      <c r="L17" s="49"/>
      <c r="M17" s="136"/>
      <c r="N17" s="136"/>
      <c r="O17" s="136"/>
      <c r="P17" s="136"/>
      <c r="Q17" s="136"/>
      <c r="R17" s="136"/>
      <c r="S17" s="136"/>
      <c r="T17" s="136"/>
      <c r="U17" s="136"/>
    </row>
    <row r="18">
      <c r="A18" s="144">
        <v>15.0</v>
      </c>
      <c r="B18" s="49"/>
      <c r="C18" s="49"/>
      <c r="D18" s="49"/>
      <c r="E18" s="49"/>
      <c r="F18" s="49"/>
      <c r="G18" s="49"/>
      <c r="H18" s="144"/>
      <c r="I18" s="49"/>
      <c r="J18" s="144"/>
      <c r="K18" s="49"/>
      <c r="L18" s="49"/>
      <c r="M18" s="149"/>
      <c r="N18" s="149"/>
      <c r="O18" s="149"/>
      <c r="P18" s="149"/>
      <c r="Q18" s="149"/>
      <c r="R18" s="149"/>
      <c r="S18" s="149"/>
      <c r="T18" s="149"/>
      <c r="U18" s="149"/>
    </row>
    <row r="19">
      <c r="A19" s="144">
        <v>16.0</v>
      </c>
      <c r="B19" s="49"/>
      <c r="C19" s="49"/>
      <c r="D19" s="49"/>
      <c r="E19" s="49"/>
      <c r="F19" s="49"/>
      <c r="G19" s="49"/>
      <c r="H19" s="144"/>
      <c r="I19" s="49"/>
      <c r="J19" s="144"/>
      <c r="K19" s="49"/>
      <c r="L19" s="49"/>
      <c r="M19" s="149"/>
      <c r="N19" s="149"/>
      <c r="O19" s="149"/>
      <c r="P19" s="149"/>
      <c r="Q19" s="149"/>
      <c r="R19" s="149"/>
      <c r="S19" s="149"/>
      <c r="T19" s="149"/>
      <c r="U19" s="149"/>
    </row>
    <row r="20">
      <c r="A20" s="144">
        <v>17.0</v>
      </c>
      <c r="B20" s="49"/>
      <c r="C20" s="49"/>
      <c r="D20" s="49"/>
      <c r="E20" s="49"/>
      <c r="F20" s="49"/>
      <c r="G20" s="49"/>
      <c r="H20" s="144"/>
      <c r="I20" s="49"/>
      <c r="J20" s="144"/>
      <c r="K20" s="49"/>
      <c r="L20" s="49"/>
      <c r="M20" s="149"/>
      <c r="N20" s="149"/>
      <c r="O20" s="149"/>
      <c r="P20" s="149"/>
      <c r="Q20" s="149"/>
      <c r="R20" s="149"/>
      <c r="S20" s="149"/>
      <c r="T20" s="149"/>
      <c r="U20" s="149"/>
    </row>
    <row r="21" ht="15.75" customHeight="1">
      <c r="A21" s="144">
        <v>18.0</v>
      </c>
      <c r="B21" s="49"/>
      <c r="C21" s="49"/>
      <c r="D21" s="49"/>
      <c r="E21" s="49"/>
      <c r="F21" s="49"/>
      <c r="G21" s="49"/>
      <c r="H21" s="144"/>
      <c r="I21" s="49"/>
      <c r="J21" s="144"/>
      <c r="K21" s="49"/>
      <c r="L21" s="49"/>
      <c r="M21" s="149"/>
      <c r="N21" s="149"/>
      <c r="O21" s="149"/>
      <c r="P21" s="149"/>
      <c r="Q21" s="149"/>
      <c r="R21" s="149"/>
      <c r="S21" s="149"/>
      <c r="T21" s="149"/>
      <c r="U21" s="149"/>
    </row>
    <row r="22" ht="15.75" customHeight="1">
      <c r="A22" s="144">
        <v>19.0</v>
      </c>
      <c r="B22" s="49"/>
      <c r="C22" s="49"/>
      <c r="D22" s="150"/>
      <c r="E22" s="150"/>
      <c r="F22" s="150"/>
      <c r="G22" s="49"/>
      <c r="H22" s="144"/>
      <c r="I22" s="49"/>
      <c r="J22" s="144"/>
      <c r="K22" s="49"/>
      <c r="L22" s="49"/>
      <c r="M22" s="149"/>
      <c r="N22" s="149"/>
      <c r="O22" s="149"/>
      <c r="P22" s="149"/>
      <c r="Q22" s="149"/>
      <c r="R22" s="149"/>
      <c r="S22" s="149"/>
      <c r="T22" s="149"/>
      <c r="U22" s="149"/>
    </row>
    <row r="23" ht="15.75" customHeight="1">
      <c r="A23" s="144">
        <v>20.0</v>
      </c>
      <c r="B23" s="49"/>
      <c r="C23" s="49"/>
      <c r="D23" s="49"/>
      <c r="E23" s="49"/>
      <c r="F23" s="49"/>
      <c r="G23" s="49"/>
      <c r="H23" s="144"/>
      <c r="I23" s="49"/>
      <c r="J23" s="144"/>
      <c r="K23" s="49"/>
      <c r="L23" s="49"/>
      <c r="M23" s="136"/>
      <c r="N23" s="136"/>
      <c r="O23" s="136"/>
      <c r="P23" s="136"/>
      <c r="Q23" s="136"/>
      <c r="R23" s="136"/>
      <c r="S23" s="136"/>
      <c r="T23" s="136"/>
      <c r="U23" s="136"/>
    </row>
    <row r="24" ht="15.75" customHeight="1">
      <c r="A24" s="144">
        <v>21.0</v>
      </c>
      <c r="B24" s="49"/>
      <c r="C24" s="49"/>
      <c r="D24" s="49"/>
      <c r="E24" s="49"/>
      <c r="F24" s="49"/>
      <c r="G24" s="49"/>
      <c r="H24" s="144"/>
      <c r="I24" s="49"/>
      <c r="J24" s="144"/>
      <c r="K24" s="49"/>
      <c r="L24" s="49"/>
      <c r="M24" s="136"/>
      <c r="N24" s="136"/>
      <c r="O24" s="136"/>
      <c r="P24" s="136"/>
      <c r="Q24" s="136"/>
      <c r="R24" s="136"/>
      <c r="S24" s="136"/>
      <c r="T24" s="136"/>
      <c r="U24" s="136"/>
    </row>
    <row r="25" ht="15.75" customHeight="1">
      <c r="A25" s="144">
        <v>22.0</v>
      </c>
      <c r="B25" s="49"/>
      <c r="C25" s="49"/>
      <c r="D25" s="49"/>
      <c r="E25" s="49"/>
      <c r="F25" s="49"/>
      <c r="G25" s="49"/>
      <c r="H25" s="144"/>
      <c r="I25" s="49"/>
      <c r="J25" s="144"/>
      <c r="K25" s="49"/>
      <c r="L25" s="49"/>
      <c r="M25" s="136"/>
      <c r="N25" s="136"/>
      <c r="O25" s="136"/>
      <c r="P25" s="136"/>
      <c r="Q25" s="136"/>
      <c r="R25" s="136"/>
      <c r="S25" s="136"/>
      <c r="T25" s="136"/>
      <c r="U25" s="136"/>
    </row>
    <row r="26" ht="15.75" customHeight="1">
      <c r="A26" s="144">
        <v>23.0</v>
      </c>
      <c r="B26" s="49"/>
      <c r="C26" s="49"/>
      <c r="D26" s="49"/>
      <c r="E26" s="49"/>
      <c r="F26" s="49"/>
      <c r="G26" s="49"/>
      <c r="H26" s="144"/>
      <c r="I26" s="49"/>
      <c r="J26" s="144"/>
      <c r="K26" s="49"/>
      <c r="L26" s="49"/>
      <c r="M26" s="136"/>
      <c r="N26" s="136"/>
      <c r="O26" s="136"/>
      <c r="P26" s="136"/>
      <c r="Q26" s="136"/>
      <c r="R26" s="136"/>
      <c r="S26" s="136"/>
      <c r="T26" s="136"/>
      <c r="U26" s="136"/>
    </row>
    <row r="27" ht="15.75" customHeight="1">
      <c r="A27" s="144">
        <v>24.0</v>
      </c>
      <c r="B27" s="49"/>
      <c r="C27" s="49"/>
      <c r="D27" s="49"/>
      <c r="E27" s="49"/>
      <c r="F27" s="49"/>
      <c r="G27" s="49"/>
      <c r="H27" s="144"/>
      <c r="I27" s="49"/>
      <c r="J27" s="144"/>
      <c r="K27" s="49"/>
      <c r="L27" s="49"/>
      <c r="M27" s="136"/>
      <c r="N27" s="136"/>
      <c r="O27" s="136"/>
      <c r="P27" s="136"/>
      <c r="Q27" s="136"/>
      <c r="R27" s="136"/>
      <c r="S27" s="136"/>
      <c r="T27" s="136"/>
      <c r="U27" s="136"/>
    </row>
    <row r="28" ht="15.75" customHeight="1">
      <c r="A28" s="144">
        <v>25.0</v>
      </c>
      <c r="B28" s="49"/>
      <c r="C28" s="49"/>
      <c r="D28" s="49"/>
      <c r="E28" s="49"/>
      <c r="F28" s="49"/>
      <c r="G28" s="49"/>
      <c r="H28" s="144"/>
      <c r="I28" s="49"/>
      <c r="J28" s="144"/>
      <c r="K28" s="49"/>
      <c r="L28" s="49"/>
      <c r="M28" s="136"/>
      <c r="N28" s="136"/>
      <c r="O28" s="136"/>
      <c r="P28" s="136"/>
      <c r="Q28" s="136"/>
      <c r="R28" s="136"/>
      <c r="S28" s="136"/>
      <c r="T28" s="136"/>
      <c r="U28" s="136"/>
    </row>
    <row r="29" ht="15.75" customHeight="1">
      <c r="A29" s="144">
        <v>26.0</v>
      </c>
      <c r="B29" s="49"/>
      <c r="C29" s="49"/>
      <c r="D29" s="49"/>
      <c r="E29" s="49"/>
      <c r="F29" s="49"/>
      <c r="G29" s="49"/>
      <c r="H29" s="144"/>
      <c r="I29" s="49"/>
      <c r="J29" s="144"/>
      <c r="K29" s="49"/>
      <c r="L29" s="49"/>
      <c r="M29" s="149"/>
      <c r="N29" s="149"/>
      <c r="O29" s="149"/>
      <c r="P29" s="149"/>
      <c r="Q29" s="149"/>
      <c r="R29" s="149"/>
      <c r="S29" s="149"/>
      <c r="T29" s="149"/>
      <c r="U29" s="149"/>
    </row>
    <row r="30" ht="15.75" customHeight="1">
      <c r="A30" s="144">
        <v>27.0</v>
      </c>
      <c r="B30" s="49"/>
      <c r="C30" s="49"/>
      <c r="D30" s="49"/>
      <c r="E30" s="49"/>
      <c r="F30" s="49"/>
      <c r="G30" s="49"/>
      <c r="H30" s="144"/>
      <c r="I30" s="49"/>
      <c r="J30" s="144"/>
      <c r="K30" s="49"/>
      <c r="L30" s="49"/>
      <c r="M30" s="136"/>
      <c r="N30" s="136"/>
      <c r="O30" s="136"/>
      <c r="P30" s="136"/>
      <c r="Q30" s="136"/>
      <c r="R30" s="136"/>
      <c r="S30" s="136"/>
      <c r="T30" s="136"/>
      <c r="U30" s="136"/>
    </row>
    <row r="31" ht="15.75" customHeight="1">
      <c r="A31" s="144">
        <v>28.0</v>
      </c>
      <c r="B31" s="49"/>
      <c r="C31" s="49"/>
      <c r="D31" s="49"/>
      <c r="E31" s="49"/>
      <c r="F31" s="49"/>
      <c r="G31" s="49"/>
      <c r="H31" s="144"/>
      <c r="I31" s="49"/>
      <c r="J31" s="144"/>
      <c r="K31" s="49"/>
      <c r="L31" s="49"/>
      <c r="M31" s="136"/>
      <c r="N31" s="136"/>
      <c r="O31" s="136"/>
      <c r="P31" s="136"/>
      <c r="Q31" s="136"/>
      <c r="R31" s="136"/>
      <c r="S31" s="136"/>
      <c r="T31" s="136"/>
      <c r="U31" s="136"/>
    </row>
    <row r="32" ht="15.75" customHeight="1">
      <c r="A32" s="144">
        <v>29.0</v>
      </c>
      <c r="B32" s="49"/>
      <c r="C32" s="49"/>
      <c r="D32" s="49"/>
      <c r="E32" s="49"/>
      <c r="F32" s="49"/>
      <c r="G32" s="49"/>
      <c r="H32" s="144"/>
      <c r="I32" s="49"/>
      <c r="J32" s="144"/>
      <c r="K32" s="49"/>
      <c r="L32" s="49"/>
      <c r="M32" s="136"/>
      <c r="N32" s="136"/>
      <c r="O32" s="136"/>
      <c r="P32" s="136"/>
      <c r="Q32" s="136"/>
      <c r="R32" s="136"/>
      <c r="S32" s="136"/>
      <c r="T32" s="136"/>
      <c r="U32" s="136"/>
    </row>
    <row r="33" ht="15.75" customHeight="1">
      <c r="A33" s="144">
        <v>30.0</v>
      </c>
      <c r="B33" s="49"/>
      <c r="C33" s="49"/>
      <c r="D33" s="49"/>
      <c r="E33" s="49"/>
      <c r="F33" s="49"/>
      <c r="G33" s="49"/>
      <c r="H33" s="144"/>
      <c r="I33" s="49"/>
      <c r="J33" s="144"/>
      <c r="K33" s="49"/>
      <c r="L33" s="49"/>
      <c r="M33" s="136"/>
      <c r="N33" s="136"/>
      <c r="O33" s="136"/>
      <c r="P33" s="136"/>
      <c r="Q33" s="136"/>
      <c r="R33" s="136"/>
      <c r="S33" s="136"/>
      <c r="T33" s="136"/>
      <c r="U33" s="136"/>
    </row>
    <row r="34" ht="15.75" customHeight="1">
      <c r="A34" s="144">
        <v>31.0</v>
      </c>
      <c r="B34" s="49"/>
      <c r="C34" s="49"/>
      <c r="D34" s="49"/>
      <c r="E34" s="49"/>
      <c r="F34" s="49"/>
      <c r="G34" s="49"/>
      <c r="H34" s="144"/>
      <c r="I34" s="49"/>
      <c r="J34" s="144"/>
      <c r="K34" s="49"/>
      <c r="L34" s="49"/>
      <c r="M34" s="136"/>
      <c r="N34" s="136"/>
      <c r="O34" s="136"/>
      <c r="P34" s="136"/>
      <c r="Q34" s="136"/>
      <c r="R34" s="136"/>
      <c r="S34" s="136"/>
      <c r="T34" s="136"/>
      <c r="U34" s="136"/>
    </row>
    <row r="35" ht="15.75" customHeight="1">
      <c r="A35" s="144">
        <v>32.0</v>
      </c>
      <c r="B35" s="49"/>
      <c r="C35" s="49"/>
      <c r="D35" s="49"/>
      <c r="E35" s="49"/>
      <c r="F35" s="49"/>
      <c r="G35" s="49"/>
      <c r="H35" s="144"/>
      <c r="I35" s="49"/>
      <c r="J35" s="144"/>
      <c r="K35" s="49"/>
      <c r="L35" s="49"/>
      <c r="M35" s="136"/>
      <c r="N35" s="136"/>
      <c r="O35" s="136"/>
      <c r="P35" s="136"/>
      <c r="Q35" s="136"/>
      <c r="R35" s="136"/>
      <c r="S35" s="136"/>
      <c r="T35" s="136"/>
      <c r="U35" s="136"/>
    </row>
    <row r="36" ht="15.75" customHeight="1">
      <c r="A36" s="144">
        <v>33.0</v>
      </c>
      <c r="B36" s="49"/>
      <c r="C36" s="49"/>
      <c r="D36" s="49"/>
      <c r="E36" s="49"/>
      <c r="F36" s="49"/>
      <c r="G36" s="49"/>
      <c r="H36" s="144"/>
      <c r="I36" s="49"/>
      <c r="J36" s="144"/>
      <c r="K36" s="49"/>
      <c r="L36" s="49"/>
      <c r="M36" s="149"/>
      <c r="N36" s="149"/>
      <c r="O36" s="149"/>
      <c r="P36" s="149"/>
      <c r="Q36" s="149"/>
      <c r="R36" s="149"/>
      <c r="S36" s="149"/>
      <c r="T36" s="149"/>
      <c r="U36" s="149"/>
    </row>
    <row r="37" ht="15.75" customHeight="1">
      <c r="A37" s="144">
        <v>34.0</v>
      </c>
      <c r="B37" s="49"/>
      <c r="C37" s="49"/>
      <c r="D37" s="49"/>
      <c r="E37" s="49"/>
      <c r="F37" s="49"/>
      <c r="G37" s="49"/>
      <c r="H37" s="144"/>
      <c r="I37" s="49"/>
      <c r="J37" s="144"/>
      <c r="K37" s="49"/>
      <c r="L37" s="49"/>
      <c r="M37" s="136"/>
      <c r="N37" s="136"/>
      <c r="O37" s="136"/>
      <c r="P37" s="136"/>
      <c r="Q37" s="136"/>
      <c r="R37" s="136"/>
      <c r="S37" s="136"/>
      <c r="T37" s="136"/>
      <c r="U37" s="136"/>
    </row>
    <row r="38" ht="15.75" customHeight="1">
      <c r="A38" s="144">
        <v>35.0</v>
      </c>
      <c r="B38" s="49"/>
      <c r="C38" s="49"/>
      <c r="D38" s="49"/>
      <c r="E38" s="49"/>
      <c r="F38" s="49"/>
      <c r="G38" s="49"/>
      <c r="H38" s="151"/>
      <c r="I38" s="49"/>
      <c r="J38" s="144"/>
      <c r="K38" s="49"/>
      <c r="L38" s="49"/>
      <c r="M38" s="136"/>
      <c r="N38" s="136"/>
      <c r="O38" s="136"/>
      <c r="P38" s="136"/>
      <c r="Q38" s="136"/>
      <c r="R38" s="136"/>
      <c r="S38" s="136"/>
      <c r="T38" s="136"/>
      <c r="U38" s="136"/>
    </row>
    <row r="39" ht="15.75" customHeight="1">
      <c r="A39" s="144">
        <v>36.0</v>
      </c>
      <c r="B39" s="49"/>
      <c r="C39" s="49"/>
      <c r="D39" s="49"/>
      <c r="E39" s="49"/>
      <c r="F39" s="49"/>
      <c r="G39" s="49"/>
      <c r="H39" s="151"/>
      <c r="I39" s="49"/>
      <c r="J39" s="144"/>
      <c r="K39" s="49"/>
      <c r="L39" s="49"/>
      <c r="M39" s="136"/>
      <c r="N39" s="136"/>
      <c r="O39" s="136"/>
      <c r="P39" s="136"/>
      <c r="Q39" s="136"/>
      <c r="R39" s="136"/>
      <c r="S39" s="136"/>
      <c r="T39" s="136"/>
      <c r="U39" s="136"/>
    </row>
    <row r="40" ht="15.75" customHeight="1">
      <c r="A40" s="144">
        <v>37.0</v>
      </c>
      <c r="B40" s="49"/>
      <c r="C40" s="49"/>
      <c r="D40" s="49"/>
      <c r="E40" s="49"/>
      <c r="F40" s="49"/>
      <c r="G40" s="49"/>
      <c r="H40" s="151"/>
      <c r="I40" s="49"/>
      <c r="J40" s="144"/>
      <c r="K40" s="49"/>
      <c r="L40" s="49"/>
      <c r="M40" s="136"/>
      <c r="N40" s="136"/>
      <c r="O40" s="136"/>
      <c r="P40" s="136"/>
      <c r="Q40" s="136"/>
      <c r="R40" s="136"/>
      <c r="S40" s="136"/>
      <c r="T40" s="136"/>
      <c r="U40" s="136"/>
    </row>
    <row r="41" ht="15.75" customHeight="1">
      <c r="A41" s="144">
        <v>38.0</v>
      </c>
      <c r="B41" s="49"/>
      <c r="C41" s="49"/>
      <c r="D41" s="49"/>
      <c r="E41" s="49"/>
      <c r="F41" s="49"/>
      <c r="G41" s="49"/>
      <c r="H41" s="151"/>
      <c r="I41" s="49"/>
      <c r="J41" s="144"/>
      <c r="K41" s="49"/>
      <c r="L41" s="49"/>
      <c r="M41" s="136"/>
      <c r="N41" s="136"/>
      <c r="O41" s="136"/>
      <c r="P41" s="136"/>
      <c r="Q41" s="136"/>
      <c r="R41" s="136"/>
      <c r="S41" s="136"/>
      <c r="T41" s="136"/>
      <c r="U41" s="136"/>
    </row>
    <row r="42" ht="15.75" customHeight="1">
      <c r="A42" s="144">
        <v>39.0</v>
      </c>
      <c r="B42" s="49"/>
      <c r="C42" s="49"/>
      <c r="D42" s="49"/>
      <c r="E42" s="49"/>
      <c r="F42" s="49"/>
      <c r="G42" s="49"/>
      <c r="H42" s="151"/>
      <c r="I42" s="49"/>
      <c r="J42" s="144"/>
      <c r="K42" s="49"/>
      <c r="L42" s="49"/>
      <c r="M42" s="136"/>
      <c r="N42" s="136"/>
      <c r="O42" s="136"/>
      <c r="P42" s="136"/>
      <c r="Q42" s="136"/>
      <c r="R42" s="136"/>
      <c r="S42" s="136"/>
      <c r="T42" s="136"/>
      <c r="U42" s="136"/>
    </row>
    <row r="43" ht="15.75" customHeight="1">
      <c r="A43" s="144">
        <v>40.0</v>
      </c>
      <c r="B43" s="49"/>
      <c r="C43" s="49"/>
      <c r="D43" s="49"/>
      <c r="E43" s="49"/>
      <c r="F43" s="49"/>
      <c r="G43" s="49"/>
      <c r="H43" s="151"/>
      <c r="I43" s="49"/>
      <c r="J43" s="144"/>
      <c r="K43" s="49"/>
      <c r="L43" s="49"/>
      <c r="M43" s="136"/>
      <c r="N43" s="136"/>
      <c r="O43" s="136"/>
      <c r="P43" s="136"/>
      <c r="Q43" s="136"/>
      <c r="R43" s="136"/>
      <c r="S43" s="136"/>
      <c r="T43" s="136"/>
      <c r="U43" s="136"/>
    </row>
    <row r="44" ht="15.75" customHeight="1">
      <c r="A44" s="144">
        <v>41.0</v>
      </c>
      <c r="B44" s="49"/>
      <c r="C44" s="49"/>
      <c r="D44" s="49"/>
      <c r="E44" s="49"/>
      <c r="F44" s="49"/>
      <c r="G44" s="49"/>
      <c r="H44" s="151"/>
      <c r="I44" s="49"/>
      <c r="J44" s="144"/>
      <c r="K44" s="49"/>
      <c r="L44" s="49"/>
      <c r="M44" s="136"/>
      <c r="N44" s="136"/>
      <c r="O44" s="136"/>
      <c r="P44" s="136"/>
      <c r="Q44" s="136"/>
      <c r="R44" s="136"/>
      <c r="S44" s="136"/>
      <c r="T44" s="136"/>
      <c r="U44" s="136"/>
    </row>
    <row r="45" ht="15.75" customHeight="1">
      <c r="A45" s="144">
        <v>42.0</v>
      </c>
      <c r="B45" s="49"/>
      <c r="C45" s="49"/>
      <c r="D45" s="49"/>
      <c r="E45" s="49"/>
      <c r="F45" s="49"/>
      <c r="G45" s="49"/>
      <c r="H45" s="152"/>
      <c r="I45" s="49"/>
      <c r="J45" s="144"/>
      <c r="K45" s="49"/>
      <c r="L45" s="49"/>
      <c r="M45" s="136"/>
      <c r="N45" s="136"/>
      <c r="O45" s="136"/>
      <c r="P45" s="136"/>
      <c r="Q45" s="136"/>
      <c r="R45" s="136"/>
      <c r="S45" s="136"/>
      <c r="T45" s="136"/>
      <c r="U45" s="136"/>
    </row>
    <row r="46" ht="15.75" customHeight="1">
      <c r="A46" s="144">
        <v>43.0</v>
      </c>
      <c r="B46" s="49"/>
      <c r="C46" s="49"/>
      <c r="D46" s="49"/>
      <c r="E46" s="49"/>
      <c r="F46" s="49"/>
      <c r="G46" s="49"/>
      <c r="H46" s="152"/>
      <c r="I46" s="49"/>
      <c r="J46" s="144"/>
      <c r="K46" s="49"/>
      <c r="L46" s="49"/>
      <c r="M46" s="136"/>
      <c r="N46" s="136"/>
      <c r="O46" s="136"/>
      <c r="P46" s="136"/>
      <c r="Q46" s="136"/>
      <c r="R46" s="136"/>
      <c r="S46" s="136"/>
      <c r="T46" s="136"/>
      <c r="U46" s="136"/>
    </row>
    <row r="47" ht="15.75" customHeight="1">
      <c r="A47" s="144">
        <v>44.0</v>
      </c>
      <c r="B47" s="49"/>
      <c r="C47" s="49"/>
      <c r="D47" s="49"/>
      <c r="E47" s="49"/>
      <c r="F47" s="49"/>
      <c r="G47" s="49"/>
      <c r="H47" s="152"/>
      <c r="I47" s="49"/>
      <c r="J47" s="144"/>
      <c r="K47" s="49"/>
      <c r="L47" s="49"/>
      <c r="M47" s="149"/>
      <c r="N47" s="149"/>
      <c r="O47" s="149"/>
      <c r="P47" s="149"/>
      <c r="Q47" s="149"/>
      <c r="R47" s="149"/>
      <c r="S47" s="149"/>
      <c r="T47" s="149"/>
      <c r="U47" s="149"/>
    </row>
    <row r="48" ht="15.75" customHeight="1">
      <c r="A48" s="144">
        <v>45.0</v>
      </c>
      <c r="B48" s="153"/>
      <c r="C48" s="153"/>
      <c r="D48" s="153"/>
      <c r="E48" s="153"/>
      <c r="F48" s="153"/>
      <c r="G48" s="153"/>
      <c r="H48" s="154"/>
      <c r="I48" s="153"/>
      <c r="J48" s="144"/>
      <c r="K48" s="153"/>
      <c r="L48" s="153"/>
      <c r="M48" s="136"/>
      <c r="N48" s="136"/>
      <c r="O48" s="136"/>
      <c r="P48" s="136"/>
      <c r="Q48" s="136"/>
      <c r="R48" s="136"/>
      <c r="S48" s="136"/>
      <c r="T48" s="136"/>
      <c r="U48" s="136"/>
    </row>
    <row r="49" ht="15.75" customHeight="1">
      <c r="A49" s="144">
        <v>46.0</v>
      </c>
      <c r="B49" s="49"/>
      <c r="C49" s="49"/>
      <c r="D49" s="49"/>
      <c r="E49" s="49"/>
      <c r="F49" s="49"/>
      <c r="G49" s="49"/>
      <c r="H49" s="152"/>
      <c r="I49" s="49"/>
      <c r="J49" s="144"/>
      <c r="K49" s="49"/>
      <c r="L49" s="49"/>
      <c r="M49" s="136"/>
      <c r="N49" s="136"/>
      <c r="O49" s="136"/>
      <c r="P49" s="136"/>
      <c r="Q49" s="136"/>
      <c r="R49" s="136"/>
      <c r="S49" s="136"/>
      <c r="T49" s="136"/>
      <c r="U49" s="136"/>
    </row>
    <row r="50" ht="15.75" customHeight="1">
      <c r="A50" s="144">
        <v>47.0</v>
      </c>
      <c r="B50" s="49"/>
      <c r="C50" s="49"/>
      <c r="D50" s="150"/>
      <c r="E50" s="150"/>
      <c r="F50" s="150"/>
      <c r="G50" s="49"/>
      <c r="H50" s="152"/>
      <c r="I50" s="49"/>
      <c r="J50" s="144"/>
      <c r="K50" s="49"/>
      <c r="L50" s="49"/>
      <c r="M50" s="136"/>
      <c r="N50" s="136"/>
      <c r="O50" s="136"/>
      <c r="P50" s="136"/>
      <c r="Q50" s="136"/>
      <c r="R50" s="136"/>
      <c r="S50" s="136"/>
      <c r="T50" s="136"/>
      <c r="U50" s="136"/>
    </row>
    <row r="51" ht="15.75" customHeight="1">
      <c r="A51" s="144">
        <v>48.0</v>
      </c>
      <c r="B51" s="49"/>
      <c r="C51" s="49"/>
      <c r="D51" s="155"/>
      <c r="E51" s="155"/>
      <c r="F51" s="155"/>
      <c r="G51" s="49"/>
      <c r="H51" s="152"/>
      <c r="I51" s="49"/>
      <c r="J51" s="144"/>
      <c r="K51" s="49"/>
      <c r="L51" s="49"/>
      <c r="M51" s="136"/>
      <c r="N51" s="136"/>
      <c r="O51" s="136"/>
      <c r="P51" s="136"/>
      <c r="Q51" s="136"/>
      <c r="R51" s="136"/>
      <c r="S51" s="136"/>
      <c r="T51" s="136"/>
      <c r="U51" s="136"/>
    </row>
    <row r="52" ht="15.75" customHeight="1">
      <c r="A52" s="144">
        <v>49.0</v>
      </c>
      <c r="B52" s="49"/>
      <c r="C52" s="49"/>
      <c r="D52" s="49"/>
      <c r="E52" s="49"/>
      <c r="F52" s="49"/>
      <c r="G52" s="49"/>
      <c r="H52" s="152"/>
      <c r="I52" s="49"/>
      <c r="J52" s="144"/>
      <c r="K52" s="49"/>
      <c r="L52" s="49"/>
      <c r="M52" s="136"/>
      <c r="N52" s="136"/>
      <c r="O52" s="136"/>
      <c r="P52" s="136"/>
      <c r="Q52" s="136"/>
      <c r="R52" s="136"/>
      <c r="S52" s="136"/>
      <c r="T52" s="136"/>
      <c r="U52" s="136"/>
    </row>
    <row r="53" ht="15.75" customHeight="1">
      <c r="A53" s="144">
        <v>50.0</v>
      </c>
      <c r="B53" s="49"/>
      <c r="C53" s="49"/>
      <c r="D53" s="49"/>
      <c r="E53" s="49"/>
      <c r="F53" s="49"/>
      <c r="G53" s="49"/>
      <c r="H53" s="152"/>
      <c r="I53" s="49"/>
      <c r="J53" s="144"/>
      <c r="K53" s="49"/>
      <c r="L53" s="49"/>
      <c r="M53" s="136"/>
      <c r="N53" s="136"/>
      <c r="O53" s="136"/>
      <c r="P53" s="136"/>
      <c r="Q53" s="136"/>
      <c r="R53" s="136"/>
      <c r="S53" s="136"/>
      <c r="T53" s="136"/>
      <c r="U53" s="136"/>
    </row>
    <row r="54" ht="15.75" customHeight="1">
      <c r="A54" s="144">
        <v>51.0</v>
      </c>
      <c r="B54" s="49"/>
      <c r="C54" s="49"/>
      <c r="D54" s="49"/>
      <c r="E54" s="49"/>
      <c r="F54" s="49"/>
      <c r="G54" s="49"/>
      <c r="H54" s="152"/>
      <c r="I54" s="49"/>
      <c r="J54" s="144"/>
      <c r="K54" s="49"/>
      <c r="L54" s="49"/>
      <c r="M54" s="136"/>
      <c r="N54" s="136"/>
      <c r="O54" s="136"/>
      <c r="P54" s="136"/>
      <c r="Q54" s="136"/>
      <c r="R54" s="136"/>
      <c r="S54" s="136"/>
      <c r="T54" s="136"/>
      <c r="U54" s="136"/>
    </row>
    <row r="55" ht="15.75" customHeight="1">
      <c r="A55" s="144">
        <v>52.0</v>
      </c>
      <c r="B55" s="49"/>
      <c r="C55" s="49"/>
      <c r="D55" s="49"/>
      <c r="E55" s="49"/>
      <c r="F55" s="49"/>
      <c r="G55" s="49"/>
      <c r="H55" s="152"/>
      <c r="I55" s="49"/>
      <c r="J55" s="144"/>
      <c r="K55" s="49"/>
      <c r="L55" s="49"/>
      <c r="M55" s="136"/>
      <c r="N55" s="136"/>
      <c r="O55" s="136"/>
      <c r="P55" s="136"/>
      <c r="Q55" s="136"/>
      <c r="R55" s="136"/>
      <c r="S55" s="136"/>
      <c r="T55" s="136"/>
      <c r="U55" s="136"/>
    </row>
    <row r="56" ht="15.75" customHeight="1">
      <c r="A56" s="144">
        <v>53.0</v>
      </c>
      <c r="B56" s="49"/>
      <c r="C56" s="49"/>
      <c r="D56" s="49"/>
      <c r="E56" s="49"/>
      <c r="F56" s="49"/>
      <c r="G56" s="49"/>
      <c r="H56" s="152"/>
      <c r="I56" s="49"/>
      <c r="J56" s="144"/>
      <c r="K56" s="49"/>
      <c r="L56" s="49"/>
      <c r="M56" s="136"/>
      <c r="N56" s="136"/>
      <c r="O56" s="136"/>
      <c r="P56" s="136"/>
      <c r="Q56" s="136"/>
      <c r="R56" s="136"/>
      <c r="S56" s="136"/>
      <c r="T56" s="136"/>
      <c r="U56" s="136"/>
    </row>
    <row r="57" ht="15.75" customHeight="1">
      <c r="A57" s="144">
        <v>54.0</v>
      </c>
      <c r="B57" s="49"/>
      <c r="C57" s="49"/>
      <c r="D57" s="49"/>
      <c r="E57" s="49"/>
      <c r="F57" s="49"/>
      <c r="G57" s="49"/>
      <c r="H57" s="152"/>
      <c r="I57" s="49"/>
      <c r="J57" s="144"/>
      <c r="K57" s="49"/>
      <c r="L57" s="49"/>
      <c r="M57" s="136"/>
      <c r="N57" s="136"/>
      <c r="O57" s="136"/>
      <c r="P57" s="136"/>
      <c r="Q57" s="136"/>
      <c r="R57" s="136"/>
      <c r="S57" s="136"/>
      <c r="T57" s="136"/>
      <c r="U57" s="136"/>
    </row>
    <row r="58" ht="15.75" customHeight="1">
      <c r="A58" s="144">
        <v>55.0</v>
      </c>
      <c r="B58" s="49"/>
      <c r="C58" s="49"/>
      <c r="D58" s="49"/>
      <c r="E58" s="49"/>
      <c r="F58" s="49"/>
      <c r="G58" s="49"/>
      <c r="H58" s="152"/>
      <c r="I58" s="49"/>
      <c r="J58" s="144"/>
      <c r="K58" s="49"/>
      <c r="L58" s="49"/>
      <c r="M58" s="136"/>
      <c r="N58" s="136"/>
      <c r="O58" s="136"/>
      <c r="P58" s="136"/>
      <c r="Q58" s="136"/>
      <c r="R58" s="136"/>
      <c r="S58" s="136"/>
      <c r="T58" s="136"/>
      <c r="U58" s="136"/>
    </row>
    <row r="59" ht="15.75" customHeight="1">
      <c r="A59" s="144">
        <v>56.0</v>
      </c>
      <c r="B59" s="49"/>
      <c r="C59" s="49"/>
      <c r="D59" s="49"/>
      <c r="E59" s="49"/>
      <c r="F59" s="49"/>
      <c r="G59" s="49"/>
      <c r="H59" s="152"/>
      <c r="I59" s="49"/>
      <c r="J59" s="144"/>
      <c r="K59" s="49"/>
      <c r="L59" s="49"/>
      <c r="M59" s="136"/>
      <c r="N59" s="136"/>
      <c r="O59" s="136"/>
      <c r="P59" s="136"/>
      <c r="Q59" s="136"/>
      <c r="R59" s="136"/>
      <c r="S59" s="136"/>
      <c r="T59" s="136"/>
      <c r="U59" s="136"/>
    </row>
    <row r="60" ht="15.75" customHeight="1">
      <c r="A60" s="144">
        <v>57.0</v>
      </c>
      <c r="B60" s="49"/>
      <c r="C60" s="49"/>
      <c r="D60" s="49"/>
      <c r="E60" s="49"/>
      <c r="F60" s="49"/>
      <c r="G60" s="49"/>
      <c r="H60" s="152"/>
      <c r="I60" s="49"/>
      <c r="J60" s="144"/>
      <c r="K60" s="49"/>
      <c r="L60" s="49"/>
      <c r="M60" s="136"/>
      <c r="N60" s="136"/>
      <c r="O60" s="136"/>
      <c r="P60" s="136"/>
      <c r="Q60" s="136"/>
      <c r="R60" s="136"/>
      <c r="S60" s="136"/>
      <c r="T60" s="136"/>
      <c r="U60" s="136"/>
    </row>
    <row r="61" ht="15.75" customHeight="1">
      <c r="A61" s="144">
        <v>58.0</v>
      </c>
      <c r="B61" s="49"/>
      <c r="C61" s="49"/>
      <c r="D61" s="49"/>
      <c r="E61" s="49"/>
      <c r="F61" s="49"/>
      <c r="G61" s="49"/>
      <c r="H61" s="152"/>
      <c r="I61" s="49"/>
      <c r="J61" s="144"/>
      <c r="K61" s="49"/>
      <c r="L61" s="49"/>
      <c r="M61" s="136"/>
      <c r="N61" s="136"/>
      <c r="O61" s="136"/>
      <c r="P61" s="136"/>
      <c r="Q61" s="136"/>
      <c r="R61" s="136"/>
      <c r="S61" s="136"/>
      <c r="T61" s="136"/>
      <c r="U61" s="136"/>
    </row>
    <row r="62" ht="15.75" customHeight="1">
      <c r="A62" s="144">
        <v>59.0</v>
      </c>
      <c r="B62" s="49"/>
      <c r="C62" s="49"/>
      <c r="D62" s="49"/>
      <c r="E62" s="49"/>
      <c r="F62" s="49"/>
      <c r="G62" s="49"/>
      <c r="H62" s="152"/>
      <c r="I62" s="49"/>
      <c r="J62" s="144"/>
      <c r="K62" s="49"/>
      <c r="L62" s="49"/>
      <c r="M62" s="136"/>
      <c r="N62" s="136"/>
      <c r="O62" s="136"/>
      <c r="P62" s="136"/>
      <c r="Q62" s="136"/>
      <c r="R62" s="136"/>
      <c r="S62" s="136"/>
      <c r="T62" s="136"/>
      <c r="U62" s="136"/>
    </row>
    <row r="63" ht="15.75" customHeight="1">
      <c r="A63" s="144">
        <v>60.0</v>
      </c>
      <c r="B63" s="49"/>
      <c r="C63" s="49"/>
      <c r="D63" s="49"/>
      <c r="E63" s="49"/>
      <c r="F63" s="49"/>
      <c r="G63" s="49"/>
      <c r="H63" s="152"/>
      <c r="I63" s="49"/>
      <c r="J63" s="144"/>
      <c r="K63" s="49"/>
      <c r="L63" s="49"/>
      <c r="M63" s="136"/>
      <c r="N63" s="136"/>
      <c r="O63" s="136"/>
      <c r="P63" s="136"/>
      <c r="Q63" s="136"/>
      <c r="R63" s="136"/>
      <c r="S63" s="136"/>
      <c r="T63" s="136"/>
      <c r="U63" s="136"/>
    </row>
    <row r="64" ht="15.75" customHeight="1">
      <c r="A64" s="144">
        <v>61.0</v>
      </c>
      <c r="B64" s="49"/>
      <c r="C64" s="49"/>
      <c r="D64" s="49"/>
      <c r="E64" s="49"/>
      <c r="F64" s="49"/>
      <c r="G64" s="49"/>
      <c r="H64" s="152"/>
      <c r="I64" s="49"/>
      <c r="J64" s="144"/>
      <c r="K64" s="49"/>
      <c r="L64" s="49"/>
      <c r="M64" s="136"/>
      <c r="N64" s="136"/>
      <c r="O64" s="136"/>
      <c r="P64" s="136"/>
      <c r="Q64" s="136"/>
      <c r="R64" s="136"/>
      <c r="S64" s="136"/>
      <c r="T64" s="136"/>
      <c r="U64" s="136"/>
    </row>
    <row r="65" ht="15.75" customHeight="1">
      <c r="A65" s="144">
        <v>62.0</v>
      </c>
      <c r="B65" s="49"/>
      <c r="C65" s="49"/>
      <c r="D65" s="49"/>
      <c r="E65" s="49"/>
      <c r="F65" s="49"/>
      <c r="G65" s="49"/>
      <c r="H65" s="152"/>
      <c r="I65" s="49"/>
      <c r="J65" s="144"/>
      <c r="K65" s="49"/>
      <c r="L65" s="49"/>
      <c r="M65" s="136"/>
      <c r="N65" s="136"/>
      <c r="O65" s="136"/>
      <c r="P65" s="136"/>
      <c r="Q65" s="136"/>
      <c r="R65" s="136"/>
      <c r="S65" s="136"/>
      <c r="T65" s="136"/>
      <c r="U65" s="136"/>
    </row>
    <row r="66" ht="15.75" customHeight="1">
      <c r="A66" s="144">
        <v>63.0</v>
      </c>
      <c r="B66" s="49"/>
      <c r="C66" s="49"/>
      <c r="D66" s="49"/>
      <c r="E66" s="49"/>
      <c r="F66" s="49"/>
      <c r="G66" s="49"/>
      <c r="H66" s="152"/>
      <c r="I66" s="49"/>
      <c r="J66" s="144"/>
      <c r="K66" s="49"/>
      <c r="L66" s="49"/>
      <c r="M66" s="136"/>
      <c r="N66" s="136"/>
      <c r="O66" s="136"/>
      <c r="P66" s="136"/>
      <c r="Q66" s="136"/>
      <c r="R66" s="136"/>
      <c r="S66" s="136"/>
      <c r="T66" s="136"/>
      <c r="U66" s="136"/>
    </row>
    <row r="67" ht="15.75" customHeight="1">
      <c r="A67" s="144">
        <v>64.0</v>
      </c>
      <c r="B67" s="49"/>
      <c r="C67" s="49"/>
      <c r="D67" s="49"/>
      <c r="E67" s="49"/>
      <c r="F67" s="49"/>
      <c r="G67" s="49"/>
      <c r="H67" s="152"/>
      <c r="I67" s="49"/>
      <c r="J67" s="144"/>
      <c r="K67" s="49"/>
      <c r="L67" s="49"/>
      <c r="M67" s="136"/>
      <c r="N67" s="136"/>
      <c r="O67" s="136"/>
      <c r="P67" s="136"/>
      <c r="Q67" s="136"/>
      <c r="R67" s="136"/>
      <c r="S67" s="136"/>
      <c r="T67" s="136"/>
      <c r="U67" s="136"/>
    </row>
    <row r="68" ht="15.75" customHeight="1">
      <c r="A68" s="144">
        <v>65.0</v>
      </c>
      <c r="B68" s="49"/>
      <c r="C68" s="49"/>
      <c r="D68" s="49"/>
      <c r="E68" s="49"/>
      <c r="F68" s="49"/>
      <c r="G68" s="49"/>
      <c r="H68" s="152"/>
      <c r="I68" s="49"/>
      <c r="J68" s="144"/>
      <c r="K68" s="49"/>
      <c r="L68" s="49"/>
      <c r="M68" s="136"/>
      <c r="N68" s="136"/>
      <c r="O68" s="136"/>
      <c r="P68" s="136"/>
      <c r="Q68" s="136"/>
      <c r="R68" s="136"/>
      <c r="S68" s="136"/>
      <c r="T68" s="136"/>
      <c r="U68" s="136"/>
    </row>
    <row r="69" ht="15.75" customHeight="1">
      <c r="A69" s="144">
        <v>66.0</v>
      </c>
      <c r="B69" s="49"/>
      <c r="C69" s="49"/>
      <c r="D69" s="49"/>
      <c r="E69" s="49"/>
      <c r="F69" s="49"/>
      <c r="G69" s="49"/>
      <c r="H69" s="152"/>
      <c r="I69" s="49"/>
      <c r="J69" s="144"/>
      <c r="K69" s="49"/>
      <c r="L69" s="49"/>
      <c r="M69" s="136"/>
      <c r="N69" s="136"/>
      <c r="O69" s="136"/>
      <c r="P69" s="136"/>
      <c r="Q69" s="136"/>
      <c r="R69" s="136"/>
      <c r="S69" s="136"/>
      <c r="T69" s="136"/>
      <c r="U69" s="136"/>
    </row>
    <row r="70" ht="15.75" customHeight="1">
      <c r="A70" s="144">
        <v>67.0</v>
      </c>
      <c r="B70" s="49"/>
      <c r="C70" s="49"/>
      <c r="D70" s="49"/>
      <c r="E70" s="49"/>
      <c r="F70" s="49"/>
      <c r="G70" s="49"/>
      <c r="H70" s="152"/>
      <c r="I70" s="49"/>
      <c r="J70" s="144"/>
      <c r="K70" s="49"/>
      <c r="L70" s="49"/>
      <c r="M70" s="136"/>
      <c r="N70" s="136"/>
      <c r="O70" s="136"/>
      <c r="P70" s="136"/>
      <c r="Q70" s="136"/>
      <c r="R70" s="136"/>
      <c r="S70" s="136"/>
      <c r="T70" s="136"/>
      <c r="U70" s="136"/>
    </row>
    <row r="71" ht="15.75" customHeight="1">
      <c r="A71" s="144">
        <v>68.0</v>
      </c>
      <c r="B71" s="49"/>
      <c r="C71" s="49"/>
      <c r="D71" s="49"/>
      <c r="E71" s="49"/>
      <c r="F71" s="49"/>
      <c r="G71" s="49"/>
      <c r="H71" s="152"/>
      <c r="I71" s="49"/>
      <c r="J71" s="144"/>
      <c r="K71" s="49"/>
      <c r="L71" s="49"/>
      <c r="M71" s="136"/>
      <c r="N71" s="136"/>
      <c r="O71" s="136"/>
      <c r="P71" s="136"/>
      <c r="Q71" s="136"/>
      <c r="R71" s="136"/>
      <c r="S71" s="136"/>
      <c r="T71" s="136"/>
      <c r="U71" s="136"/>
    </row>
    <row r="72" ht="15.75" customHeight="1">
      <c r="A72" s="144">
        <v>69.0</v>
      </c>
      <c r="B72" s="49"/>
      <c r="C72" s="49"/>
      <c r="D72" s="49"/>
      <c r="E72" s="49"/>
      <c r="F72" s="49"/>
      <c r="G72" s="49"/>
      <c r="H72" s="152"/>
      <c r="I72" s="49"/>
      <c r="J72" s="144"/>
      <c r="K72" s="49"/>
      <c r="L72" s="49"/>
      <c r="M72" s="136"/>
      <c r="N72" s="136"/>
      <c r="O72" s="136"/>
      <c r="P72" s="136"/>
      <c r="Q72" s="136"/>
      <c r="R72" s="136"/>
      <c r="S72" s="136"/>
      <c r="T72" s="136"/>
      <c r="U72" s="136"/>
    </row>
    <row r="73" ht="15.75" customHeight="1">
      <c r="A73" s="144">
        <v>70.0</v>
      </c>
      <c r="B73" s="49"/>
      <c r="C73" s="49"/>
      <c r="D73" s="49"/>
      <c r="E73" s="49"/>
      <c r="F73" s="49"/>
      <c r="G73" s="49"/>
      <c r="H73" s="152"/>
      <c r="I73" s="49"/>
      <c r="J73" s="144"/>
      <c r="K73" s="49"/>
      <c r="L73" s="49"/>
      <c r="M73" s="136"/>
      <c r="N73" s="136"/>
      <c r="O73" s="136"/>
      <c r="P73" s="136"/>
      <c r="Q73" s="136"/>
      <c r="R73" s="136"/>
      <c r="S73" s="136"/>
      <c r="T73" s="136"/>
      <c r="U73" s="136"/>
    </row>
    <row r="74" ht="15.75" customHeight="1">
      <c r="A74" s="144">
        <v>71.0</v>
      </c>
      <c r="B74" s="49"/>
      <c r="C74" s="49"/>
      <c r="D74" s="155"/>
      <c r="E74" s="155"/>
      <c r="F74" s="155"/>
      <c r="G74" s="49"/>
      <c r="H74" s="152"/>
      <c r="I74" s="49"/>
      <c r="J74" s="144"/>
      <c r="K74" s="49"/>
      <c r="L74" s="49"/>
      <c r="M74" s="136"/>
      <c r="N74" s="136"/>
      <c r="O74" s="136"/>
      <c r="P74" s="136"/>
      <c r="Q74" s="136"/>
      <c r="R74" s="136"/>
      <c r="S74" s="136"/>
      <c r="T74" s="136"/>
      <c r="U74" s="136"/>
    </row>
    <row r="75" ht="15.75" customHeight="1">
      <c r="A75" s="144">
        <v>72.0</v>
      </c>
      <c r="B75" s="49"/>
      <c r="C75" s="49"/>
      <c r="D75" s="49"/>
      <c r="E75" s="49"/>
      <c r="F75" s="49"/>
      <c r="G75" s="49"/>
      <c r="H75" s="152"/>
      <c r="I75" s="49"/>
      <c r="J75" s="144"/>
      <c r="K75" s="49"/>
      <c r="L75" s="49"/>
      <c r="M75" s="136"/>
      <c r="N75" s="136"/>
      <c r="O75" s="136"/>
      <c r="P75" s="136"/>
      <c r="Q75" s="136"/>
      <c r="R75" s="136"/>
      <c r="S75" s="136"/>
      <c r="T75" s="136"/>
      <c r="U75" s="136"/>
    </row>
    <row r="76" ht="15.75" customHeight="1">
      <c r="A76" s="144">
        <v>73.0</v>
      </c>
      <c r="B76" s="49"/>
      <c r="C76" s="49"/>
      <c r="D76" s="49"/>
      <c r="E76" s="49"/>
      <c r="F76" s="49"/>
      <c r="G76" s="49"/>
      <c r="H76" s="152"/>
      <c r="I76" s="49"/>
      <c r="J76" s="144"/>
      <c r="K76" s="49"/>
      <c r="L76" s="49"/>
      <c r="M76" s="136"/>
      <c r="N76" s="136"/>
      <c r="O76" s="136"/>
      <c r="P76" s="136"/>
      <c r="Q76" s="136"/>
      <c r="R76" s="136"/>
      <c r="S76" s="136"/>
      <c r="T76" s="136"/>
      <c r="U76" s="136"/>
    </row>
    <row r="77" ht="15.75" customHeight="1">
      <c r="A77" s="144">
        <v>74.0</v>
      </c>
      <c r="B77" s="49"/>
      <c r="C77" s="49"/>
      <c r="D77" s="49"/>
      <c r="E77" s="49"/>
      <c r="F77" s="49"/>
      <c r="G77" s="49"/>
      <c r="H77" s="152"/>
      <c r="I77" s="49"/>
      <c r="J77" s="144"/>
      <c r="K77" s="49"/>
      <c r="L77" s="49"/>
      <c r="M77" s="136"/>
      <c r="N77" s="136"/>
      <c r="O77" s="136"/>
      <c r="P77" s="136"/>
      <c r="Q77" s="136"/>
      <c r="R77" s="136"/>
      <c r="S77" s="136"/>
      <c r="T77" s="136"/>
      <c r="U77" s="136"/>
    </row>
    <row r="78" ht="15.75" customHeight="1">
      <c r="A78" s="144">
        <v>75.0</v>
      </c>
      <c r="B78" s="49"/>
      <c r="C78" s="49"/>
      <c r="D78" s="49"/>
      <c r="E78" s="49"/>
      <c r="F78" s="49"/>
      <c r="G78" s="49"/>
      <c r="H78" s="152"/>
      <c r="I78" s="49"/>
      <c r="J78" s="144"/>
      <c r="K78" s="49"/>
      <c r="L78" s="49"/>
      <c r="M78" s="136"/>
      <c r="N78" s="136"/>
      <c r="O78" s="136"/>
      <c r="P78" s="136"/>
      <c r="Q78" s="136"/>
      <c r="R78" s="136"/>
      <c r="S78" s="136"/>
      <c r="T78" s="136"/>
      <c r="U78" s="136"/>
    </row>
    <row r="79" ht="15.75" customHeight="1">
      <c r="A79" s="144">
        <v>76.0</v>
      </c>
      <c r="B79" s="49"/>
      <c r="C79" s="49"/>
      <c r="D79" s="49"/>
      <c r="E79" s="49"/>
      <c r="F79" s="49"/>
      <c r="G79" s="49"/>
      <c r="H79" s="152"/>
      <c r="I79" s="49"/>
      <c r="J79" s="144"/>
      <c r="K79" s="49"/>
      <c r="L79" s="49"/>
      <c r="M79" s="136"/>
      <c r="N79" s="136"/>
      <c r="O79" s="136"/>
      <c r="P79" s="136"/>
      <c r="Q79" s="136"/>
      <c r="R79" s="136"/>
      <c r="S79" s="136"/>
      <c r="T79" s="136"/>
      <c r="U79" s="136"/>
    </row>
    <row r="80" ht="15.75" customHeight="1">
      <c r="A80" s="144">
        <v>77.0</v>
      </c>
      <c r="B80" s="49"/>
      <c r="C80" s="49"/>
      <c r="D80" s="49"/>
      <c r="E80" s="49"/>
      <c r="F80" s="49"/>
      <c r="G80" s="49"/>
      <c r="H80" s="152"/>
      <c r="I80" s="49"/>
      <c r="J80" s="144"/>
      <c r="K80" s="49"/>
      <c r="L80" s="49"/>
      <c r="M80" s="136"/>
      <c r="N80" s="136"/>
      <c r="O80" s="136"/>
      <c r="P80" s="136"/>
      <c r="Q80" s="136"/>
      <c r="R80" s="136"/>
      <c r="S80" s="136"/>
      <c r="T80" s="136"/>
      <c r="U80" s="136"/>
    </row>
    <row r="81" ht="15.75" customHeight="1">
      <c r="A81" s="144">
        <v>78.0</v>
      </c>
      <c r="B81" s="49"/>
      <c r="C81" s="49"/>
      <c r="D81" s="49"/>
      <c r="E81" s="49"/>
      <c r="F81" s="49"/>
      <c r="G81" s="49"/>
      <c r="H81" s="152"/>
      <c r="I81" s="49"/>
      <c r="J81" s="144"/>
      <c r="K81" s="49"/>
      <c r="L81" s="49"/>
      <c r="M81" s="136"/>
      <c r="N81" s="136"/>
      <c r="O81" s="136"/>
      <c r="P81" s="136"/>
      <c r="Q81" s="136"/>
      <c r="R81" s="136"/>
      <c r="S81" s="136"/>
      <c r="T81" s="136"/>
      <c r="U81" s="136"/>
    </row>
    <row r="82" ht="15.75" customHeight="1">
      <c r="A82" s="144">
        <v>79.0</v>
      </c>
      <c r="B82" s="49"/>
      <c r="C82" s="49"/>
      <c r="D82" s="155"/>
      <c r="E82" s="155"/>
      <c r="F82" s="155"/>
      <c r="G82" s="49"/>
      <c r="H82" s="152"/>
      <c r="I82" s="49"/>
      <c r="J82" s="144"/>
      <c r="K82" s="49"/>
      <c r="L82" s="49"/>
      <c r="M82" s="136"/>
      <c r="N82" s="136"/>
      <c r="O82" s="136"/>
      <c r="P82" s="136"/>
      <c r="Q82" s="136"/>
      <c r="R82" s="136"/>
      <c r="S82" s="136"/>
      <c r="T82" s="136"/>
      <c r="U82" s="136"/>
    </row>
    <row r="83" ht="15.75" customHeight="1">
      <c r="A83" s="144">
        <v>80.0</v>
      </c>
      <c r="B83" s="49"/>
      <c r="C83" s="49"/>
      <c r="D83" s="155"/>
      <c r="E83" s="155"/>
      <c r="F83" s="155"/>
      <c r="G83" s="49"/>
      <c r="H83" s="152"/>
      <c r="I83" s="49"/>
      <c r="J83" s="144"/>
      <c r="K83" s="49"/>
      <c r="L83" s="49"/>
      <c r="M83" s="136"/>
      <c r="N83" s="136"/>
      <c r="O83" s="136"/>
      <c r="P83" s="136"/>
      <c r="Q83" s="136"/>
      <c r="R83" s="136"/>
      <c r="S83" s="136"/>
      <c r="T83" s="136"/>
      <c r="U83" s="136"/>
    </row>
    <row r="84" ht="15.75" customHeight="1">
      <c r="A84" s="144">
        <v>81.0</v>
      </c>
      <c r="B84" s="49"/>
      <c r="C84" s="49"/>
      <c r="D84" s="49"/>
      <c r="E84" s="49"/>
      <c r="F84" s="49"/>
      <c r="G84" s="49"/>
      <c r="H84" s="152"/>
      <c r="I84" s="49"/>
      <c r="J84" s="144"/>
      <c r="K84" s="49"/>
      <c r="L84" s="49"/>
      <c r="M84" s="136"/>
      <c r="N84" s="136"/>
      <c r="O84" s="136"/>
      <c r="P84" s="136"/>
      <c r="Q84" s="136"/>
      <c r="R84" s="136"/>
      <c r="S84" s="136"/>
      <c r="T84" s="136"/>
      <c r="U84" s="136"/>
    </row>
    <row r="85" ht="15.75" customHeight="1">
      <c r="A85" s="144">
        <v>82.0</v>
      </c>
      <c r="B85" s="49"/>
      <c r="C85" s="49"/>
      <c r="D85" s="49"/>
      <c r="E85" s="49"/>
      <c r="F85" s="49"/>
      <c r="G85" s="49"/>
      <c r="H85" s="152"/>
      <c r="I85" s="49"/>
      <c r="J85" s="144"/>
      <c r="K85" s="49"/>
      <c r="L85" s="49"/>
      <c r="M85" s="136"/>
      <c r="N85" s="136"/>
      <c r="O85" s="136"/>
      <c r="P85" s="136"/>
      <c r="Q85" s="136"/>
      <c r="R85" s="136"/>
      <c r="S85" s="136"/>
      <c r="T85" s="136"/>
      <c r="U85" s="136"/>
    </row>
    <row r="86" ht="15.75" customHeight="1">
      <c r="A86" s="144">
        <v>83.0</v>
      </c>
      <c r="B86" s="49"/>
      <c r="C86" s="49"/>
      <c r="D86" s="49"/>
      <c r="E86" s="49"/>
      <c r="F86" s="49"/>
      <c r="G86" s="49"/>
      <c r="H86" s="152"/>
      <c r="I86" s="49"/>
      <c r="J86" s="144"/>
      <c r="K86" s="49"/>
      <c r="L86" s="49"/>
      <c r="M86" s="136"/>
      <c r="N86" s="136"/>
      <c r="O86" s="136"/>
      <c r="P86" s="136"/>
      <c r="Q86" s="136"/>
      <c r="R86" s="136"/>
      <c r="S86" s="136"/>
      <c r="T86" s="136"/>
      <c r="U86" s="136"/>
    </row>
    <row r="87" ht="15.75" customHeight="1">
      <c r="A87" s="144">
        <v>84.0</v>
      </c>
      <c r="B87" s="49"/>
      <c r="C87" s="49"/>
      <c r="D87" s="49"/>
      <c r="E87" s="49"/>
      <c r="F87" s="49"/>
      <c r="G87" s="49"/>
      <c r="H87" s="152"/>
      <c r="I87" s="49"/>
      <c r="J87" s="144"/>
      <c r="K87" s="49"/>
      <c r="L87" s="49"/>
      <c r="M87" s="136"/>
      <c r="N87" s="136"/>
      <c r="O87" s="136"/>
      <c r="P87" s="136"/>
      <c r="Q87" s="136"/>
      <c r="R87" s="136"/>
      <c r="S87" s="136"/>
      <c r="T87" s="136"/>
      <c r="U87" s="136"/>
    </row>
    <row r="88" ht="15.75" customHeight="1">
      <c r="A88" s="144">
        <v>85.0</v>
      </c>
      <c r="B88" s="49"/>
      <c r="C88" s="49"/>
      <c r="D88" s="49"/>
      <c r="E88" s="49"/>
      <c r="F88" s="49"/>
      <c r="G88" s="49"/>
      <c r="H88" s="152"/>
      <c r="I88" s="49"/>
      <c r="J88" s="144"/>
      <c r="K88" s="49"/>
      <c r="L88" s="49"/>
      <c r="M88" s="136"/>
      <c r="N88" s="136"/>
      <c r="O88" s="136"/>
      <c r="P88" s="136"/>
      <c r="Q88" s="136"/>
      <c r="R88" s="136"/>
      <c r="S88" s="136"/>
      <c r="T88" s="136"/>
      <c r="U88" s="136"/>
    </row>
    <row r="89" ht="15.75" customHeight="1">
      <c r="A89" s="144">
        <v>86.0</v>
      </c>
      <c r="B89" s="49"/>
      <c r="C89" s="49"/>
      <c r="D89" s="49"/>
      <c r="E89" s="49"/>
      <c r="F89" s="49"/>
      <c r="G89" s="49"/>
      <c r="H89" s="152"/>
      <c r="I89" s="49"/>
      <c r="J89" s="144"/>
      <c r="K89" s="49"/>
      <c r="L89" s="49"/>
      <c r="M89" s="156"/>
      <c r="N89" s="156"/>
      <c r="O89" s="156"/>
      <c r="P89" s="156"/>
      <c r="Q89" s="156"/>
      <c r="R89" s="156"/>
      <c r="S89" s="156"/>
      <c r="T89" s="156"/>
      <c r="U89" s="156"/>
    </row>
    <row r="90" ht="15.75" customHeight="1">
      <c r="A90" s="144">
        <v>87.0</v>
      </c>
      <c r="B90" s="49"/>
      <c r="C90" s="49"/>
      <c r="D90" s="49"/>
      <c r="E90" s="49"/>
      <c r="F90" s="49"/>
      <c r="G90" s="49"/>
      <c r="H90" s="152"/>
      <c r="I90" s="49"/>
      <c r="J90" s="144"/>
      <c r="K90" s="49"/>
      <c r="L90" s="49"/>
      <c r="M90" s="136"/>
      <c r="N90" s="136"/>
      <c r="O90" s="136"/>
      <c r="P90" s="136"/>
      <c r="Q90" s="136"/>
      <c r="R90" s="136"/>
      <c r="S90" s="136"/>
      <c r="T90" s="136"/>
      <c r="U90" s="136"/>
    </row>
    <row r="91" ht="15.75" customHeight="1">
      <c r="A91" s="144">
        <v>88.0</v>
      </c>
      <c r="B91" s="49"/>
      <c r="C91" s="49"/>
      <c r="D91" s="49"/>
      <c r="E91" s="49"/>
      <c r="F91" s="49"/>
      <c r="G91" s="49"/>
      <c r="H91" s="152"/>
      <c r="I91" s="49"/>
      <c r="J91" s="144"/>
      <c r="K91" s="49"/>
      <c r="L91" s="49"/>
      <c r="M91" s="136"/>
      <c r="N91" s="136"/>
      <c r="O91" s="136"/>
      <c r="P91" s="136"/>
      <c r="Q91" s="136"/>
      <c r="R91" s="136"/>
      <c r="S91" s="136"/>
      <c r="T91" s="136"/>
      <c r="U91" s="136"/>
    </row>
    <row r="92" ht="15.75" customHeight="1">
      <c r="A92" s="144">
        <v>89.0</v>
      </c>
      <c r="B92" s="49"/>
      <c r="C92" s="49"/>
      <c r="D92" s="155"/>
      <c r="E92" s="155"/>
      <c r="F92" s="155"/>
      <c r="G92" s="49"/>
      <c r="H92" s="152"/>
      <c r="I92" s="49"/>
      <c r="J92" s="144"/>
      <c r="K92" s="49"/>
      <c r="L92" s="49"/>
      <c r="M92" s="136"/>
      <c r="N92" s="136"/>
      <c r="O92" s="136"/>
      <c r="P92" s="136"/>
      <c r="Q92" s="136"/>
      <c r="R92" s="136"/>
      <c r="S92" s="136"/>
      <c r="T92" s="136"/>
      <c r="U92" s="136"/>
    </row>
    <row r="93" ht="15.75" customHeight="1">
      <c r="A93" s="144">
        <v>90.0</v>
      </c>
      <c r="B93" s="49"/>
      <c r="C93" s="49"/>
      <c r="D93" s="49"/>
      <c r="E93" s="49"/>
      <c r="F93" s="49"/>
      <c r="G93" s="49"/>
      <c r="H93" s="152"/>
      <c r="I93" s="49"/>
      <c r="J93" s="144"/>
      <c r="K93" s="49"/>
      <c r="L93" s="49"/>
      <c r="M93" s="136"/>
      <c r="N93" s="136"/>
      <c r="O93" s="136"/>
      <c r="P93" s="136"/>
      <c r="Q93" s="136"/>
      <c r="R93" s="136"/>
      <c r="S93" s="136"/>
      <c r="T93" s="136"/>
      <c r="U93" s="136"/>
    </row>
    <row r="94" ht="15.75" customHeight="1">
      <c r="A94" s="144">
        <v>91.0</v>
      </c>
      <c r="B94" s="49"/>
      <c r="C94" s="49"/>
      <c r="D94" s="49"/>
      <c r="E94" s="49"/>
      <c r="F94" s="49"/>
      <c r="G94" s="49"/>
      <c r="H94" s="152"/>
      <c r="I94" s="49"/>
      <c r="J94" s="144"/>
      <c r="K94" s="49"/>
      <c r="L94" s="49"/>
      <c r="M94" s="136"/>
      <c r="N94" s="136"/>
      <c r="O94" s="136"/>
      <c r="P94" s="136"/>
      <c r="Q94" s="136"/>
      <c r="R94" s="136"/>
      <c r="S94" s="136"/>
      <c r="T94" s="136"/>
      <c r="U94" s="136"/>
    </row>
    <row r="95" ht="15.75" customHeight="1">
      <c r="A95" s="144">
        <v>92.0</v>
      </c>
      <c r="B95" s="49"/>
      <c r="C95" s="49"/>
      <c r="D95" s="49"/>
      <c r="E95" s="49"/>
      <c r="F95" s="49"/>
      <c r="G95" s="49"/>
      <c r="H95" s="152"/>
      <c r="I95" s="49"/>
      <c r="J95" s="144"/>
      <c r="K95" s="49"/>
      <c r="L95" s="49"/>
      <c r="M95" s="136"/>
      <c r="N95" s="136"/>
      <c r="O95" s="136"/>
      <c r="P95" s="136"/>
      <c r="Q95" s="136"/>
      <c r="R95" s="136"/>
      <c r="S95" s="136"/>
      <c r="T95" s="136"/>
      <c r="U95" s="136"/>
    </row>
    <row r="96" ht="15.75" customHeight="1">
      <c r="A96" s="144">
        <v>93.0</v>
      </c>
      <c r="B96" s="49"/>
      <c r="C96" s="49"/>
      <c r="D96" s="49"/>
      <c r="E96" s="49"/>
      <c r="F96" s="49"/>
      <c r="G96" s="49"/>
      <c r="H96" s="152"/>
      <c r="I96" s="49"/>
      <c r="J96" s="144"/>
      <c r="K96" s="49"/>
      <c r="L96" s="49"/>
      <c r="M96" s="136"/>
      <c r="N96" s="136"/>
      <c r="O96" s="136"/>
      <c r="P96" s="136"/>
      <c r="Q96" s="136"/>
      <c r="R96" s="136"/>
      <c r="S96" s="136"/>
      <c r="T96" s="136"/>
      <c r="U96" s="136"/>
    </row>
    <row r="97" ht="15.75" customHeight="1">
      <c r="A97" s="144">
        <v>94.0</v>
      </c>
      <c r="B97" s="49"/>
      <c r="C97" s="49"/>
      <c r="D97" s="49"/>
      <c r="E97" s="49"/>
      <c r="F97" s="49"/>
      <c r="G97" s="49"/>
      <c r="H97" s="152"/>
      <c r="I97" s="49"/>
      <c r="J97" s="144"/>
      <c r="K97" s="49"/>
      <c r="L97" s="49"/>
      <c r="M97" s="136"/>
      <c r="N97" s="136"/>
      <c r="O97" s="136"/>
      <c r="P97" s="136"/>
      <c r="Q97" s="136"/>
      <c r="R97" s="136"/>
      <c r="S97" s="136"/>
      <c r="T97" s="136"/>
      <c r="U97" s="136"/>
    </row>
    <row r="98" ht="15.75" customHeight="1">
      <c r="A98" s="144">
        <v>95.0</v>
      </c>
      <c r="B98" s="49"/>
      <c r="C98" s="49"/>
      <c r="D98" s="49"/>
      <c r="E98" s="49"/>
      <c r="F98" s="49"/>
      <c r="G98" s="49"/>
      <c r="H98" s="152"/>
      <c r="I98" s="49"/>
      <c r="J98" s="144"/>
      <c r="K98" s="49"/>
      <c r="L98" s="49"/>
      <c r="M98" s="136"/>
      <c r="N98" s="136"/>
      <c r="O98" s="136"/>
      <c r="P98" s="136"/>
      <c r="Q98" s="136"/>
      <c r="R98" s="136"/>
      <c r="S98" s="136"/>
      <c r="T98" s="136"/>
      <c r="U98" s="136"/>
    </row>
    <row r="99" ht="15.75" customHeight="1">
      <c r="A99" s="144">
        <v>96.0</v>
      </c>
      <c r="B99" s="49"/>
      <c r="C99" s="49"/>
      <c r="D99" s="49"/>
      <c r="E99" s="49"/>
      <c r="F99" s="49"/>
      <c r="G99" s="49"/>
      <c r="H99" s="152"/>
      <c r="I99" s="49"/>
      <c r="J99" s="144"/>
      <c r="K99" s="49"/>
      <c r="L99" s="49"/>
      <c r="M99" s="136"/>
      <c r="N99" s="136"/>
      <c r="O99" s="136"/>
      <c r="P99" s="136"/>
      <c r="Q99" s="136"/>
      <c r="R99" s="136"/>
      <c r="S99" s="136"/>
      <c r="T99" s="136"/>
      <c r="U99" s="136"/>
    </row>
    <row r="100" ht="15.75" customHeight="1">
      <c r="A100" s="144">
        <v>97.0</v>
      </c>
      <c r="B100" s="49"/>
      <c r="C100" s="49"/>
      <c r="D100" s="49"/>
      <c r="E100" s="49"/>
      <c r="F100" s="49"/>
      <c r="G100" s="49"/>
      <c r="H100" s="152"/>
      <c r="I100" s="49"/>
      <c r="J100" s="144"/>
      <c r="K100" s="49"/>
      <c r="L100" s="49"/>
      <c r="M100" s="136"/>
      <c r="N100" s="136"/>
      <c r="O100" s="136"/>
      <c r="P100" s="136"/>
      <c r="Q100" s="136"/>
      <c r="R100" s="136"/>
      <c r="S100" s="136"/>
      <c r="T100" s="136"/>
      <c r="U100" s="136"/>
    </row>
    <row r="101" ht="15.75" customHeight="1">
      <c r="A101" s="144">
        <v>98.0</v>
      </c>
      <c r="B101" s="49"/>
      <c r="C101" s="49"/>
      <c r="D101" s="49"/>
      <c r="E101" s="49"/>
      <c r="F101" s="49"/>
      <c r="G101" s="49"/>
      <c r="H101" s="152"/>
      <c r="I101" s="49"/>
      <c r="J101" s="144"/>
      <c r="K101" s="49"/>
      <c r="L101" s="49"/>
      <c r="M101" s="136"/>
      <c r="N101" s="136"/>
      <c r="O101" s="136"/>
      <c r="P101" s="136"/>
      <c r="Q101" s="136"/>
      <c r="R101" s="136"/>
      <c r="S101" s="136"/>
      <c r="T101" s="136"/>
      <c r="U101" s="136"/>
    </row>
    <row r="102" ht="15.75" customHeight="1">
      <c r="A102" s="144">
        <v>99.0</v>
      </c>
      <c r="B102" s="49"/>
      <c r="C102" s="49"/>
      <c r="D102" s="49"/>
      <c r="E102" s="49"/>
      <c r="F102" s="49"/>
      <c r="G102" s="49"/>
      <c r="H102" s="152"/>
      <c r="I102" s="49"/>
      <c r="J102" s="144"/>
      <c r="K102" s="49"/>
      <c r="L102" s="49"/>
      <c r="M102" s="136"/>
      <c r="N102" s="136"/>
      <c r="O102" s="136"/>
      <c r="P102" s="136"/>
      <c r="Q102" s="136"/>
      <c r="R102" s="136"/>
      <c r="S102" s="136"/>
      <c r="T102" s="136"/>
      <c r="U102" s="136"/>
    </row>
    <row r="103" ht="15.75" customHeight="1">
      <c r="A103" s="144">
        <v>100.0</v>
      </c>
      <c r="B103" s="49"/>
      <c r="C103" s="49"/>
      <c r="D103" s="49"/>
      <c r="E103" s="49"/>
      <c r="F103" s="49"/>
      <c r="G103" s="49"/>
      <c r="H103" s="152"/>
      <c r="I103" s="49"/>
      <c r="J103" s="144"/>
      <c r="K103" s="49"/>
      <c r="L103" s="49"/>
      <c r="M103" s="136"/>
      <c r="N103" s="136"/>
      <c r="O103" s="136"/>
      <c r="P103" s="136"/>
      <c r="Q103" s="136"/>
      <c r="R103" s="136"/>
      <c r="S103" s="136"/>
      <c r="T103" s="136"/>
      <c r="U103" s="136"/>
    </row>
    <row r="104" ht="15.75" customHeight="1">
      <c r="A104" s="144">
        <v>101.0</v>
      </c>
      <c r="B104" s="49"/>
      <c r="C104" s="49"/>
      <c r="D104" s="49"/>
      <c r="E104" s="49"/>
      <c r="F104" s="49"/>
      <c r="G104" s="49"/>
      <c r="H104" s="152"/>
      <c r="I104" s="49"/>
      <c r="J104" s="144"/>
      <c r="K104" s="49"/>
      <c r="L104" s="49"/>
      <c r="M104" s="136"/>
      <c r="N104" s="136"/>
      <c r="O104" s="136"/>
      <c r="P104" s="136"/>
      <c r="Q104" s="136"/>
      <c r="R104" s="136"/>
      <c r="S104" s="136"/>
      <c r="T104" s="136"/>
      <c r="U104" s="136"/>
    </row>
    <row r="105" ht="15.75" customHeight="1">
      <c r="A105" s="144">
        <v>102.0</v>
      </c>
      <c r="B105" s="49"/>
      <c r="C105" s="49"/>
      <c r="D105" s="49"/>
      <c r="E105" s="49"/>
      <c r="F105" s="49"/>
      <c r="G105" s="49"/>
      <c r="H105" s="152"/>
      <c r="I105" s="49"/>
      <c r="J105" s="144"/>
      <c r="K105" s="49"/>
      <c r="L105" s="49"/>
      <c r="M105" s="136"/>
      <c r="N105" s="136"/>
      <c r="O105" s="136"/>
      <c r="P105" s="136"/>
      <c r="Q105" s="136"/>
      <c r="R105" s="136"/>
      <c r="S105" s="136"/>
      <c r="T105" s="136"/>
      <c r="U105" s="136"/>
    </row>
    <row r="106" ht="15.75" customHeight="1">
      <c r="A106" s="144">
        <v>103.0</v>
      </c>
      <c r="B106" s="49"/>
      <c r="C106" s="49"/>
      <c r="D106" s="49"/>
      <c r="E106" s="49"/>
      <c r="F106" s="49"/>
      <c r="G106" s="49"/>
      <c r="H106" s="152"/>
      <c r="I106" s="49"/>
      <c r="J106" s="144"/>
      <c r="K106" s="49"/>
      <c r="L106" s="157"/>
      <c r="M106" s="136"/>
      <c r="N106" s="136"/>
      <c r="O106" s="136"/>
      <c r="P106" s="136"/>
      <c r="Q106" s="136"/>
      <c r="R106" s="136"/>
      <c r="S106" s="136"/>
      <c r="T106" s="136"/>
      <c r="U106" s="136"/>
    </row>
    <row r="107" ht="15.75" customHeight="1">
      <c r="A107" s="144">
        <v>104.0</v>
      </c>
      <c r="B107" s="49"/>
      <c r="C107" s="49"/>
      <c r="D107" s="49"/>
      <c r="E107" s="49"/>
      <c r="F107" s="49"/>
      <c r="G107" s="49"/>
      <c r="H107" s="152"/>
      <c r="I107" s="49"/>
      <c r="J107" s="144"/>
      <c r="K107" s="49"/>
      <c r="L107" s="49"/>
      <c r="M107" s="136"/>
      <c r="N107" s="136"/>
      <c r="O107" s="136"/>
      <c r="P107" s="136"/>
      <c r="Q107" s="136"/>
      <c r="R107" s="136"/>
      <c r="S107" s="136"/>
      <c r="T107" s="136"/>
      <c r="U107" s="136"/>
    </row>
    <row r="108" ht="15.75" customHeight="1">
      <c r="A108" s="144">
        <v>105.0</v>
      </c>
      <c r="B108" s="49"/>
      <c r="C108" s="49"/>
      <c r="D108" s="49"/>
      <c r="E108" s="49"/>
      <c r="F108" s="49"/>
      <c r="G108" s="49"/>
      <c r="H108" s="152"/>
      <c r="I108" s="49"/>
      <c r="J108" s="144"/>
      <c r="K108" s="49"/>
      <c r="L108" s="49"/>
      <c r="M108" s="136"/>
      <c r="N108" s="136"/>
      <c r="O108" s="136"/>
      <c r="P108" s="136"/>
      <c r="Q108" s="136"/>
      <c r="R108" s="136"/>
      <c r="S108" s="136"/>
      <c r="T108" s="136"/>
      <c r="U108" s="136"/>
    </row>
    <row r="109" ht="15.75" customHeight="1">
      <c r="A109" s="144">
        <v>106.0</v>
      </c>
      <c r="B109" s="49"/>
      <c r="C109" s="49"/>
      <c r="D109" s="49"/>
      <c r="E109" s="49"/>
      <c r="F109" s="49"/>
      <c r="G109" s="49"/>
      <c r="H109" s="152"/>
      <c r="I109" s="49"/>
      <c r="J109" s="144"/>
      <c r="K109" s="49"/>
      <c r="L109" s="157"/>
      <c r="M109" s="136"/>
      <c r="N109" s="136"/>
      <c r="O109" s="136"/>
      <c r="P109" s="136"/>
      <c r="Q109" s="136"/>
      <c r="R109" s="136"/>
      <c r="S109" s="136"/>
      <c r="T109" s="136"/>
      <c r="U109" s="136"/>
    </row>
    <row r="110" ht="15.75" customHeight="1">
      <c r="A110" s="144">
        <v>107.0</v>
      </c>
      <c r="B110" s="49"/>
      <c r="C110" s="49"/>
      <c r="D110" s="49"/>
      <c r="E110" s="49"/>
      <c r="F110" s="49"/>
      <c r="G110" s="49"/>
      <c r="H110" s="152"/>
      <c r="I110" s="49"/>
      <c r="J110" s="144"/>
      <c r="K110" s="49"/>
      <c r="L110" s="49"/>
      <c r="M110" s="136"/>
      <c r="N110" s="136"/>
      <c r="O110" s="136"/>
      <c r="P110" s="136"/>
      <c r="Q110" s="136"/>
      <c r="R110" s="136"/>
      <c r="S110" s="136"/>
      <c r="T110" s="136"/>
      <c r="U110" s="136"/>
    </row>
    <row r="111" ht="15.75" customHeight="1">
      <c r="A111" s="144">
        <v>108.0</v>
      </c>
      <c r="B111" s="49"/>
      <c r="C111" s="49"/>
      <c r="D111" s="49"/>
      <c r="E111" s="49"/>
      <c r="F111" s="49"/>
      <c r="G111" s="49"/>
      <c r="H111" s="152"/>
      <c r="I111" s="49"/>
      <c r="J111" s="144"/>
      <c r="K111" s="49"/>
      <c r="L111" s="49"/>
      <c r="M111" s="136"/>
      <c r="N111" s="136"/>
      <c r="O111" s="136"/>
      <c r="P111" s="136"/>
      <c r="Q111" s="136"/>
      <c r="R111" s="136"/>
      <c r="S111" s="136"/>
      <c r="T111" s="136"/>
      <c r="U111" s="136"/>
    </row>
    <row r="112" ht="15.75" customHeight="1">
      <c r="A112" s="144">
        <v>109.0</v>
      </c>
      <c r="B112" s="49"/>
      <c r="C112" s="49"/>
      <c r="D112" s="49"/>
      <c r="E112" s="49"/>
      <c r="F112" s="49"/>
      <c r="G112" s="49"/>
      <c r="H112" s="152"/>
      <c r="I112" s="49"/>
      <c r="J112" s="144"/>
      <c r="K112" s="49"/>
      <c r="L112" s="49"/>
      <c r="M112" s="136"/>
      <c r="N112" s="136"/>
      <c r="O112" s="136"/>
      <c r="P112" s="136"/>
      <c r="Q112" s="136"/>
      <c r="R112" s="136"/>
      <c r="S112" s="136"/>
      <c r="T112" s="136"/>
      <c r="U112" s="136"/>
    </row>
    <row r="113" ht="15.75" customHeight="1">
      <c r="A113" s="144">
        <v>110.0</v>
      </c>
      <c r="B113" s="49"/>
      <c r="C113" s="49"/>
      <c r="D113" s="49"/>
      <c r="E113" s="49"/>
      <c r="F113" s="49"/>
      <c r="G113" s="49"/>
      <c r="H113" s="152"/>
      <c r="I113" s="49"/>
      <c r="J113" s="144"/>
      <c r="K113" s="49"/>
      <c r="L113" s="49"/>
      <c r="M113" s="136"/>
      <c r="N113" s="136"/>
      <c r="O113" s="136"/>
      <c r="P113" s="136"/>
      <c r="Q113" s="136"/>
      <c r="R113" s="136"/>
      <c r="S113" s="136"/>
      <c r="T113" s="136"/>
      <c r="U113" s="136"/>
    </row>
    <row r="114" ht="15.75" customHeight="1">
      <c r="A114" s="144">
        <v>111.0</v>
      </c>
      <c r="B114" s="49"/>
      <c r="C114" s="49"/>
      <c r="D114" s="49"/>
      <c r="E114" s="49"/>
      <c r="F114" s="49"/>
      <c r="G114" s="49"/>
      <c r="H114" s="152"/>
      <c r="I114" s="49"/>
      <c r="J114" s="144"/>
      <c r="K114" s="49"/>
      <c r="L114" s="49"/>
      <c r="M114" s="136"/>
      <c r="N114" s="136"/>
      <c r="O114" s="136"/>
      <c r="P114" s="136"/>
      <c r="Q114" s="136"/>
      <c r="R114" s="136"/>
      <c r="S114" s="136"/>
      <c r="T114" s="136"/>
      <c r="U114" s="136"/>
    </row>
    <row r="115" ht="15.75" customHeight="1">
      <c r="A115" s="144">
        <v>112.0</v>
      </c>
      <c r="B115" s="49"/>
      <c r="C115" s="49"/>
      <c r="D115" s="49"/>
      <c r="E115" s="49"/>
      <c r="F115" s="49"/>
      <c r="G115" s="49"/>
      <c r="H115" s="152"/>
      <c r="I115" s="49"/>
      <c r="J115" s="144"/>
      <c r="K115" s="49"/>
      <c r="L115" s="49"/>
      <c r="M115" s="136"/>
      <c r="N115" s="136"/>
      <c r="O115" s="136"/>
      <c r="P115" s="136"/>
      <c r="Q115" s="136"/>
      <c r="R115" s="136"/>
      <c r="S115" s="136"/>
      <c r="T115" s="136"/>
      <c r="U115" s="136"/>
    </row>
    <row r="116" ht="15.75" customHeight="1">
      <c r="A116" s="144">
        <v>113.0</v>
      </c>
      <c r="B116" s="49"/>
      <c r="C116" s="49"/>
      <c r="D116" s="49"/>
      <c r="E116" s="49"/>
      <c r="F116" s="49"/>
      <c r="G116" s="49"/>
      <c r="H116" s="152"/>
      <c r="I116" s="49"/>
      <c r="J116" s="144"/>
      <c r="K116" s="49"/>
      <c r="L116" s="49"/>
      <c r="M116" s="136"/>
      <c r="N116" s="136"/>
      <c r="O116" s="136"/>
      <c r="P116" s="136"/>
      <c r="Q116" s="136"/>
      <c r="R116" s="136"/>
      <c r="S116" s="136"/>
      <c r="T116" s="136"/>
      <c r="U116" s="136"/>
    </row>
    <row r="117" ht="15.75" customHeight="1">
      <c r="A117" s="144">
        <v>114.0</v>
      </c>
      <c r="B117" s="49"/>
      <c r="C117" s="49"/>
      <c r="D117" s="49"/>
      <c r="E117" s="49"/>
      <c r="F117" s="49"/>
      <c r="G117" s="49"/>
      <c r="H117" s="152"/>
      <c r="I117" s="49"/>
      <c r="J117" s="144"/>
      <c r="K117" s="49"/>
      <c r="L117" s="49"/>
      <c r="M117" s="136"/>
      <c r="N117" s="136"/>
      <c r="O117" s="136"/>
      <c r="P117" s="136"/>
      <c r="Q117" s="136"/>
      <c r="R117" s="136"/>
      <c r="S117" s="136"/>
      <c r="T117" s="136"/>
      <c r="U117" s="136"/>
    </row>
    <row r="118" ht="15.75" customHeight="1">
      <c r="A118" s="144">
        <v>115.0</v>
      </c>
      <c r="B118" s="49"/>
      <c r="C118" s="49"/>
      <c r="D118" s="49"/>
      <c r="E118" s="49"/>
      <c r="F118" s="49"/>
      <c r="G118" s="49"/>
      <c r="H118" s="152"/>
      <c r="I118" s="49"/>
      <c r="J118" s="144"/>
      <c r="K118" s="49"/>
      <c r="L118" s="49"/>
      <c r="M118" s="136"/>
      <c r="N118" s="136"/>
      <c r="O118" s="136"/>
      <c r="P118" s="136"/>
      <c r="Q118" s="136"/>
      <c r="R118" s="136"/>
      <c r="S118" s="136"/>
      <c r="T118" s="136"/>
      <c r="U118" s="136"/>
    </row>
    <row r="119" ht="15.75" customHeight="1">
      <c r="A119" s="144">
        <v>116.0</v>
      </c>
      <c r="B119" s="49"/>
      <c r="C119" s="49"/>
      <c r="D119" s="49"/>
      <c r="E119" s="49"/>
      <c r="F119" s="49"/>
      <c r="G119" s="49"/>
      <c r="H119" s="152"/>
      <c r="I119" s="49"/>
      <c r="J119" s="144"/>
      <c r="K119" s="49"/>
      <c r="L119" s="49"/>
      <c r="M119" s="136"/>
      <c r="N119" s="136"/>
      <c r="O119" s="136"/>
      <c r="P119" s="136"/>
      <c r="Q119" s="136"/>
      <c r="R119" s="136"/>
      <c r="S119" s="136"/>
      <c r="T119" s="136"/>
      <c r="U119" s="136"/>
    </row>
    <row r="120" ht="15.75" customHeight="1">
      <c r="A120" s="144">
        <v>117.0</v>
      </c>
      <c r="B120" s="49"/>
      <c r="C120" s="49"/>
      <c r="D120" s="49"/>
      <c r="E120" s="49"/>
      <c r="F120" s="49"/>
      <c r="G120" s="49"/>
      <c r="H120" s="152"/>
      <c r="I120" s="49"/>
      <c r="J120" s="144"/>
      <c r="K120" s="49"/>
      <c r="L120" s="49"/>
      <c r="M120" s="136"/>
      <c r="N120" s="136"/>
      <c r="O120" s="136"/>
      <c r="P120" s="136"/>
      <c r="Q120" s="136"/>
      <c r="R120" s="136"/>
      <c r="S120" s="136"/>
      <c r="T120" s="136"/>
      <c r="U120" s="136"/>
    </row>
    <row r="121" ht="15.75" customHeight="1">
      <c r="A121" s="144">
        <v>118.0</v>
      </c>
      <c r="B121" s="49"/>
      <c r="C121" s="49"/>
      <c r="D121" s="49"/>
      <c r="E121" s="49"/>
      <c r="F121" s="49"/>
      <c r="G121" s="49"/>
      <c r="H121" s="152"/>
      <c r="I121" s="49"/>
      <c r="J121" s="144"/>
      <c r="K121" s="49"/>
      <c r="L121" s="49"/>
      <c r="M121" s="136"/>
      <c r="N121" s="136"/>
      <c r="O121" s="136"/>
      <c r="P121" s="136"/>
      <c r="Q121" s="136"/>
      <c r="R121" s="136"/>
      <c r="S121" s="136"/>
      <c r="T121" s="136"/>
      <c r="U121" s="136"/>
    </row>
    <row r="122" ht="15.75" customHeight="1">
      <c r="A122" s="144">
        <v>119.0</v>
      </c>
      <c r="B122" s="49"/>
      <c r="C122" s="49"/>
      <c r="D122" s="49"/>
      <c r="E122" s="49"/>
      <c r="F122" s="49"/>
      <c r="G122" s="49"/>
      <c r="H122" s="152"/>
      <c r="I122" s="49"/>
      <c r="J122" s="144"/>
      <c r="K122" s="49"/>
      <c r="L122" s="49"/>
      <c r="M122" s="136"/>
      <c r="N122" s="136"/>
      <c r="O122" s="136"/>
      <c r="P122" s="136"/>
      <c r="Q122" s="136"/>
      <c r="R122" s="136"/>
      <c r="S122" s="136"/>
      <c r="T122" s="136"/>
      <c r="U122" s="136"/>
    </row>
    <row r="123" ht="15.75" customHeight="1">
      <c r="A123" s="144">
        <v>120.0</v>
      </c>
      <c r="B123" s="49"/>
      <c r="C123" s="49"/>
      <c r="D123" s="49"/>
      <c r="E123" s="49"/>
      <c r="F123" s="49"/>
      <c r="G123" s="49"/>
      <c r="H123" s="152"/>
      <c r="I123" s="49"/>
      <c r="J123" s="144"/>
      <c r="K123" s="49"/>
      <c r="L123" s="49"/>
      <c r="M123" s="136"/>
      <c r="N123" s="136"/>
      <c r="O123" s="136"/>
      <c r="P123" s="136"/>
      <c r="Q123" s="136"/>
      <c r="R123" s="136"/>
      <c r="S123" s="136"/>
      <c r="T123" s="136"/>
      <c r="U123" s="136"/>
    </row>
    <row r="124" ht="15.75" customHeight="1">
      <c r="A124" s="144">
        <v>121.0</v>
      </c>
      <c r="B124" s="158"/>
      <c r="C124" s="158"/>
      <c r="D124" s="49"/>
      <c r="E124" s="49"/>
      <c r="F124" s="49"/>
      <c r="G124" s="49"/>
      <c r="H124" s="152"/>
      <c r="I124" s="49"/>
      <c r="J124" s="144"/>
      <c r="K124" s="49"/>
      <c r="L124" s="49"/>
      <c r="M124" s="136"/>
      <c r="N124" s="136"/>
      <c r="O124" s="136"/>
      <c r="P124" s="136"/>
      <c r="Q124" s="136"/>
      <c r="R124" s="136"/>
      <c r="S124" s="136"/>
      <c r="T124" s="136"/>
      <c r="U124" s="136"/>
    </row>
    <row r="125" ht="15.75" customHeight="1">
      <c r="A125" s="144">
        <v>122.0</v>
      </c>
      <c r="B125" s="49"/>
      <c r="C125" s="49"/>
      <c r="D125" s="49"/>
      <c r="E125" s="49"/>
      <c r="F125" s="49"/>
      <c r="G125" s="49"/>
      <c r="H125" s="152"/>
      <c r="I125" s="49"/>
      <c r="J125" s="144"/>
      <c r="K125" s="49"/>
      <c r="L125" s="49"/>
      <c r="M125" s="136"/>
      <c r="N125" s="136"/>
      <c r="O125" s="136"/>
      <c r="P125" s="136"/>
      <c r="Q125" s="136"/>
      <c r="R125" s="136"/>
      <c r="S125" s="136"/>
      <c r="T125" s="136"/>
      <c r="U125" s="136"/>
    </row>
    <row r="126" ht="15.75" customHeight="1">
      <c r="A126" s="144">
        <v>123.0</v>
      </c>
      <c r="B126" s="49"/>
      <c r="C126" s="49"/>
      <c r="D126" s="49"/>
      <c r="E126" s="49"/>
      <c r="F126" s="49"/>
      <c r="G126" s="49"/>
      <c r="H126" s="152"/>
      <c r="I126" s="49"/>
      <c r="J126" s="144"/>
      <c r="K126" s="49"/>
      <c r="L126" s="49"/>
      <c r="M126" s="136"/>
      <c r="N126" s="136"/>
      <c r="O126" s="136"/>
      <c r="P126" s="136"/>
      <c r="Q126" s="136"/>
      <c r="R126" s="136"/>
      <c r="S126" s="136"/>
      <c r="T126" s="136"/>
      <c r="U126" s="136"/>
    </row>
    <row r="127" ht="15.75" customHeight="1">
      <c r="A127" s="144">
        <v>124.0</v>
      </c>
      <c r="B127" s="49"/>
      <c r="C127" s="49"/>
      <c r="D127" s="49"/>
      <c r="E127" s="49"/>
      <c r="F127" s="49"/>
      <c r="G127" s="49"/>
      <c r="H127" s="152"/>
      <c r="I127" s="49"/>
      <c r="J127" s="144"/>
      <c r="K127" s="49"/>
      <c r="L127" s="49"/>
      <c r="M127" s="136"/>
      <c r="N127" s="136"/>
      <c r="O127" s="136"/>
      <c r="P127" s="136"/>
      <c r="Q127" s="136"/>
      <c r="R127" s="136"/>
      <c r="S127" s="136"/>
      <c r="T127" s="136"/>
      <c r="U127" s="136"/>
    </row>
    <row r="128" ht="15.75" customHeight="1">
      <c r="A128" s="144">
        <v>125.0</v>
      </c>
      <c r="B128" s="49"/>
      <c r="C128" s="49"/>
      <c r="D128" s="49"/>
      <c r="E128" s="49"/>
      <c r="F128" s="49"/>
      <c r="G128" s="49"/>
      <c r="H128" s="152"/>
      <c r="I128" s="49"/>
      <c r="J128" s="144"/>
      <c r="K128" s="49"/>
      <c r="L128" s="49"/>
      <c r="M128" s="136"/>
      <c r="N128" s="136"/>
      <c r="O128" s="136"/>
      <c r="P128" s="136"/>
      <c r="Q128" s="136"/>
      <c r="R128" s="136"/>
      <c r="S128" s="136"/>
      <c r="T128" s="136"/>
      <c r="U128" s="136"/>
    </row>
    <row r="129" ht="15.75" customHeight="1">
      <c r="A129" s="144">
        <v>126.0</v>
      </c>
      <c r="B129" s="49"/>
      <c r="C129" s="49"/>
      <c r="D129" s="49"/>
      <c r="E129" s="49"/>
      <c r="F129" s="49"/>
      <c r="G129" s="49"/>
      <c r="H129" s="152"/>
      <c r="I129" s="49"/>
      <c r="J129" s="144"/>
      <c r="K129" s="49"/>
      <c r="L129" s="49"/>
      <c r="M129" s="136"/>
      <c r="N129" s="136"/>
      <c r="O129" s="136"/>
      <c r="P129" s="136"/>
      <c r="Q129" s="136"/>
      <c r="R129" s="136"/>
      <c r="S129" s="136"/>
      <c r="T129" s="136"/>
      <c r="U129" s="136"/>
    </row>
    <row r="130" ht="15.75" customHeight="1">
      <c r="A130" s="144">
        <v>127.0</v>
      </c>
      <c r="B130" s="49"/>
      <c r="C130" s="49"/>
      <c r="D130" s="49"/>
      <c r="E130" s="49"/>
      <c r="F130" s="49"/>
      <c r="G130" s="49"/>
      <c r="H130" s="152"/>
      <c r="I130" s="49"/>
      <c r="J130" s="144"/>
      <c r="K130" s="49"/>
      <c r="L130" s="49"/>
      <c r="M130" s="136"/>
      <c r="N130" s="136"/>
      <c r="O130" s="136"/>
      <c r="P130" s="136"/>
      <c r="Q130" s="136"/>
      <c r="R130" s="136"/>
      <c r="S130" s="136"/>
      <c r="T130" s="136"/>
      <c r="U130" s="136"/>
    </row>
    <row r="131" ht="15.75" customHeight="1">
      <c r="A131" s="144">
        <v>128.0</v>
      </c>
      <c r="B131" s="49"/>
      <c r="C131" s="49"/>
      <c r="D131" s="49"/>
      <c r="E131" s="49"/>
      <c r="F131" s="49"/>
      <c r="G131" s="49"/>
      <c r="H131" s="152"/>
      <c r="I131" s="49"/>
      <c r="J131" s="144"/>
      <c r="K131" s="49"/>
      <c r="L131" s="157"/>
      <c r="M131" s="136"/>
      <c r="N131" s="136"/>
      <c r="O131" s="136"/>
      <c r="P131" s="136"/>
      <c r="Q131" s="136"/>
      <c r="R131" s="136"/>
      <c r="S131" s="136"/>
      <c r="T131" s="136"/>
      <c r="U131" s="136"/>
    </row>
    <row r="132" ht="15.75" customHeight="1">
      <c r="A132" s="144">
        <v>129.0</v>
      </c>
      <c r="B132" s="49"/>
      <c r="C132" s="49"/>
      <c r="D132" s="49"/>
      <c r="E132" s="49"/>
      <c r="F132" s="49"/>
      <c r="G132" s="49"/>
      <c r="H132" s="49"/>
      <c r="I132" s="49"/>
      <c r="J132" s="144"/>
      <c r="K132" s="49"/>
      <c r="L132" s="49"/>
      <c r="M132" s="136"/>
      <c r="N132" s="136"/>
      <c r="O132" s="136"/>
      <c r="P132" s="136"/>
      <c r="Q132" s="136"/>
      <c r="R132" s="136"/>
      <c r="S132" s="136"/>
      <c r="T132" s="136"/>
      <c r="U132" s="136"/>
    </row>
    <row r="133" ht="15.75" customHeight="1">
      <c r="A133" s="144">
        <v>130.0</v>
      </c>
      <c r="B133" s="49"/>
      <c r="C133" s="49"/>
      <c r="D133" s="49"/>
      <c r="E133" s="49"/>
      <c r="F133" s="49"/>
      <c r="G133" s="49"/>
      <c r="H133" s="152"/>
      <c r="I133" s="49"/>
      <c r="J133" s="144"/>
      <c r="K133" s="49"/>
      <c r="L133" s="49"/>
      <c r="M133" s="136"/>
      <c r="N133" s="136"/>
      <c r="O133" s="136"/>
      <c r="P133" s="136"/>
      <c r="Q133" s="136"/>
      <c r="R133" s="136"/>
      <c r="S133" s="136"/>
      <c r="T133" s="136"/>
      <c r="U133" s="136"/>
    </row>
    <row r="134" ht="15.75" customHeight="1">
      <c r="A134" s="144">
        <v>131.0</v>
      </c>
      <c r="B134" s="49"/>
      <c r="C134" s="49"/>
      <c r="D134" s="49"/>
      <c r="E134" s="49"/>
      <c r="F134" s="49"/>
      <c r="G134" s="49"/>
      <c r="H134" s="152"/>
      <c r="I134" s="49"/>
      <c r="J134" s="144"/>
      <c r="K134" s="49"/>
      <c r="L134" s="49"/>
      <c r="M134" s="136"/>
      <c r="N134" s="136"/>
      <c r="O134" s="136"/>
      <c r="P134" s="136"/>
      <c r="Q134" s="136"/>
      <c r="R134" s="136"/>
      <c r="S134" s="136"/>
      <c r="T134" s="136"/>
      <c r="U134" s="136"/>
    </row>
    <row r="135" ht="15.75" customHeight="1">
      <c r="A135" s="144">
        <v>132.0</v>
      </c>
      <c r="B135" s="49"/>
      <c r="C135" s="49"/>
      <c r="D135" s="49"/>
      <c r="E135" s="49"/>
      <c r="F135" s="49"/>
      <c r="G135" s="49"/>
      <c r="H135" s="152"/>
      <c r="I135" s="49"/>
      <c r="J135" s="144"/>
      <c r="K135" s="49"/>
      <c r="L135" s="49"/>
      <c r="M135" s="136"/>
      <c r="N135" s="136"/>
      <c r="O135" s="136"/>
      <c r="P135" s="136"/>
      <c r="Q135" s="136"/>
      <c r="R135" s="136"/>
      <c r="S135" s="136"/>
      <c r="T135" s="136"/>
      <c r="U135" s="136"/>
    </row>
    <row r="136" ht="15.75" customHeight="1">
      <c r="A136" s="144">
        <v>133.0</v>
      </c>
      <c r="B136" s="49"/>
      <c r="C136" s="49"/>
      <c r="D136" s="49"/>
      <c r="E136" s="49"/>
      <c r="F136" s="49"/>
      <c r="G136" s="49"/>
      <c r="H136" s="152"/>
      <c r="I136" s="49"/>
      <c r="J136" s="144"/>
      <c r="K136" s="49"/>
      <c r="L136" s="49"/>
      <c r="M136" s="136"/>
      <c r="N136" s="136"/>
      <c r="O136" s="136"/>
      <c r="P136" s="136"/>
      <c r="Q136" s="136"/>
      <c r="R136" s="136"/>
      <c r="S136" s="136"/>
      <c r="T136" s="136"/>
      <c r="U136" s="136"/>
    </row>
    <row r="137" ht="15.75" customHeight="1">
      <c r="A137" s="144">
        <v>134.0</v>
      </c>
      <c r="B137" s="49"/>
      <c r="C137" s="49"/>
      <c r="D137" s="49"/>
      <c r="E137" s="49"/>
      <c r="F137" s="49"/>
      <c r="G137" s="49"/>
      <c r="H137" s="152"/>
      <c r="I137" s="49"/>
      <c r="J137" s="144"/>
      <c r="K137" s="49"/>
      <c r="L137" s="49"/>
      <c r="M137" s="136"/>
      <c r="N137" s="136"/>
      <c r="O137" s="136"/>
      <c r="P137" s="136"/>
      <c r="Q137" s="136"/>
      <c r="R137" s="136"/>
      <c r="S137" s="136"/>
      <c r="T137" s="136"/>
      <c r="U137" s="136"/>
    </row>
    <row r="138" ht="15.75" customHeight="1">
      <c r="A138" s="144">
        <v>135.0</v>
      </c>
      <c r="B138" s="49"/>
      <c r="C138" s="49"/>
      <c r="D138" s="49"/>
      <c r="E138" s="49"/>
      <c r="F138" s="49"/>
      <c r="G138" s="49"/>
      <c r="H138" s="152"/>
      <c r="I138" s="49"/>
      <c r="J138" s="144"/>
      <c r="K138" s="49"/>
      <c r="L138" s="49"/>
      <c r="M138" s="136"/>
      <c r="N138" s="136"/>
      <c r="O138" s="136"/>
      <c r="P138" s="136"/>
      <c r="Q138" s="136"/>
      <c r="R138" s="136"/>
      <c r="S138" s="136"/>
      <c r="T138" s="136"/>
      <c r="U138" s="136"/>
    </row>
    <row r="139" ht="15.75" customHeight="1">
      <c r="A139" s="144">
        <v>136.0</v>
      </c>
      <c r="B139" s="49"/>
      <c r="C139" s="49"/>
      <c r="D139" s="49"/>
      <c r="E139" s="49"/>
      <c r="F139" s="49"/>
      <c r="G139" s="49"/>
      <c r="H139" s="152"/>
      <c r="I139" s="49"/>
      <c r="J139" s="144"/>
      <c r="K139" s="49"/>
      <c r="L139" s="49"/>
      <c r="M139" s="136"/>
      <c r="N139" s="136"/>
      <c r="O139" s="136"/>
      <c r="P139" s="136"/>
      <c r="Q139" s="136"/>
      <c r="R139" s="136"/>
      <c r="S139" s="136"/>
      <c r="T139" s="136"/>
      <c r="U139" s="136"/>
    </row>
    <row r="140" ht="15.75" customHeight="1">
      <c r="A140" s="144">
        <v>137.0</v>
      </c>
      <c r="B140" s="49"/>
      <c r="C140" s="49"/>
      <c r="D140" s="49"/>
      <c r="E140" s="49"/>
      <c r="F140" s="49"/>
      <c r="G140" s="49"/>
      <c r="H140" s="152"/>
      <c r="I140" s="49"/>
      <c r="J140" s="144"/>
      <c r="K140" s="49"/>
      <c r="L140" s="49"/>
      <c r="M140" s="136"/>
      <c r="N140" s="136"/>
      <c r="O140" s="136"/>
      <c r="P140" s="136"/>
      <c r="Q140" s="136"/>
      <c r="R140" s="136"/>
      <c r="S140" s="136"/>
      <c r="T140" s="136"/>
      <c r="U140" s="136"/>
    </row>
    <row r="141" ht="15.75" customHeight="1">
      <c r="A141" s="144">
        <v>138.0</v>
      </c>
      <c r="B141" s="49"/>
      <c r="C141" s="49"/>
      <c r="D141" s="49"/>
      <c r="E141" s="49"/>
      <c r="F141" s="49"/>
      <c r="G141" s="49"/>
      <c r="H141" s="152"/>
      <c r="I141" s="49"/>
      <c r="J141" s="144"/>
      <c r="K141" s="49"/>
      <c r="L141" s="49"/>
      <c r="M141" s="136"/>
      <c r="N141" s="136"/>
      <c r="O141" s="136"/>
      <c r="P141" s="136"/>
      <c r="Q141" s="136"/>
      <c r="R141" s="136"/>
      <c r="S141" s="136"/>
      <c r="T141" s="136"/>
      <c r="U141" s="136"/>
    </row>
    <row r="142" ht="15.75" customHeight="1">
      <c r="A142" s="144">
        <v>139.0</v>
      </c>
      <c r="B142" s="49"/>
      <c r="C142" s="49"/>
      <c r="D142" s="49"/>
      <c r="E142" s="49"/>
      <c r="F142" s="49"/>
      <c r="G142" s="49"/>
      <c r="H142" s="152"/>
      <c r="I142" s="49"/>
      <c r="J142" s="144"/>
      <c r="K142" s="49"/>
      <c r="L142" s="49"/>
      <c r="M142" s="136"/>
      <c r="N142" s="136"/>
      <c r="O142" s="136"/>
      <c r="P142" s="136"/>
      <c r="Q142" s="136"/>
      <c r="R142" s="136"/>
      <c r="S142" s="136"/>
      <c r="T142" s="136"/>
      <c r="U142" s="136"/>
    </row>
    <row r="143" ht="15.75" customHeight="1">
      <c r="A143" s="144">
        <v>140.0</v>
      </c>
      <c r="B143" s="49"/>
      <c r="C143" s="49"/>
      <c r="D143" s="49"/>
      <c r="E143" s="49"/>
      <c r="F143" s="49"/>
      <c r="G143" s="49"/>
      <c r="H143" s="152"/>
      <c r="I143" s="49"/>
      <c r="J143" s="144"/>
      <c r="K143" s="49"/>
      <c r="L143" s="49"/>
      <c r="M143" s="136"/>
      <c r="N143" s="136"/>
      <c r="O143" s="136"/>
      <c r="P143" s="136"/>
      <c r="Q143" s="136"/>
      <c r="R143" s="136"/>
      <c r="S143" s="136"/>
      <c r="T143" s="136"/>
      <c r="U143" s="136"/>
    </row>
    <row r="144" ht="15.75" customHeight="1">
      <c r="A144" s="144">
        <v>141.0</v>
      </c>
      <c r="B144" s="49"/>
      <c r="C144" s="49"/>
      <c r="D144" s="49"/>
      <c r="E144" s="49"/>
      <c r="F144" s="49"/>
      <c r="G144" s="49"/>
      <c r="H144" s="152"/>
      <c r="I144" s="49"/>
      <c r="J144" s="144"/>
      <c r="K144" s="49"/>
      <c r="L144" s="49"/>
      <c r="M144" s="136"/>
      <c r="N144" s="136"/>
      <c r="O144" s="136"/>
      <c r="P144" s="136"/>
      <c r="Q144" s="136"/>
      <c r="R144" s="136"/>
      <c r="S144" s="136"/>
      <c r="T144" s="136"/>
      <c r="U144" s="136"/>
    </row>
    <row r="145" ht="15.75" customHeight="1">
      <c r="A145" s="144">
        <v>142.0</v>
      </c>
      <c r="B145" s="49"/>
      <c r="C145" s="49"/>
      <c r="D145" s="49"/>
      <c r="E145" s="49"/>
      <c r="F145" s="49"/>
      <c r="G145" s="49"/>
      <c r="H145" s="152"/>
      <c r="I145" s="49"/>
      <c r="J145" s="144"/>
      <c r="K145" s="49"/>
      <c r="L145" s="49"/>
      <c r="M145" s="136"/>
      <c r="N145" s="136"/>
      <c r="O145" s="136"/>
      <c r="P145" s="136"/>
      <c r="Q145" s="136"/>
      <c r="R145" s="136"/>
      <c r="S145" s="136"/>
      <c r="T145" s="136"/>
      <c r="U145" s="136"/>
    </row>
    <row r="146" ht="15.75" customHeight="1">
      <c r="A146" s="144">
        <v>143.0</v>
      </c>
      <c r="B146" s="49"/>
      <c r="C146" s="49"/>
      <c r="D146" s="49"/>
      <c r="E146" s="49"/>
      <c r="F146" s="49"/>
      <c r="G146" s="49"/>
      <c r="H146" s="152"/>
      <c r="I146" s="49"/>
      <c r="J146" s="144"/>
      <c r="K146" s="49"/>
      <c r="L146" s="49"/>
      <c r="M146" s="136"/>
      <c r="N146" s="136"/>
      <c r="O146" s="136"/>
      <c r="P146" s="136"/>
      <c r="Q146" s="136"/>
      <c r="R146" s="136"/>
      <c r="S146" s="136"/>
      <c r="T146" s="136"/>
      <c r="U146" s="136"/>
    </row>
    <row r="147" ht="15.75" customHeight="1">
      <c r="A147" s="144">
        <v>144.0</v>
      </c>
      <c r="B147" s="49"/>
      <c r="C147" s="49"/>
      <c r="D147" s="49"/>
      <c r="E147" s="49"/>
      <c r="F147" s="49"/>
      <c r="G147" s="49"/>
      <c r="H147" s="152"/>
      <c r="I147" s="49"/>
      <c r="J147" s="144"/>
      <c r="K147" s="49"/>
      <c r="L147" s="49"/>
      <c r="M147" s="136"/>
      <c r="N147" s="136"/>
      <c r="O147" s="136"/>
      <c r="P147" s="136"/>
      <c r="Q147" s="136"/>
      <c r="R147" s="136"/>
      <c r="S147" s="136"/>
      <c r="T147" s="136"/>
      <c r="U147" s="136"/>
    </row>
    <row r="148" ht="15.75" customHeight="1">
      <c r="A148" s="144">
        <v>145.0</v>
      </c>
      <c r="B148" s="49"/>
      <c r="C148" s="49"/>
      <c r="D148" s="49"/>
      <c r="E148" s="49"/>
      <c r="F148" s="49"/>
      <c r="G148" s="49"/>
      <c r="H148" s="152"/>
      <c r="I148" s="49"/>
      <c r="J148" s="144"/>
      <c r="K148" s="49"/>
      <c r="L148" s="49"/>
      <c r="M148" s="136"/>
      <c r="N148" s="136"/>
      <c r="O148" s="136"/>
      <c r="P148" s="136"/>
      <c r="Q148" s="136"/>
      <c r="R148" s="136"/>
      <c r="S148" s="136"/>
      <c r="T148" s="136"/>
      <c r="U148" s="136"/>
    </row>
    <row r="149" ht="15.75" customHeight="1">
      <c r="A149" s="144">
        <v>146.0</v>
      </c>
      <c r="B149" s="49"/>
      <c r="C149" s="49"/>
      <c r="D149" s="49"/>
      <c r="E149" s="49"/>
      <c r="F149" s="49"/>
      <c r="G149" s="49"/>
      <c r="H149" s="152"/>
      <c r="I149" s="49"/>
      <c r="J149" s="144"/>
      <c r="K149" s="49"/>
      <c r="L149" s="49"/>
      <c r="M149" s="136"/>
      <c r="N149" s="136"/>
      <c r="O149" s="136"/>
      <c r="P149" s="136"/>
      <c r="Q149" s="136"/>
      <c r="R149" s="136"/>
      <c r="S149" s="136"/>
      <c r="T149" s="136"/>
      <c r="U149" s="136"/>
    </row>
    <row r="150" ht="15.75" customHeight="1">
      <c r="A150" s="144">
        <v>147.0</v>
      </c>
      <c r="B150" s="49"/>
      <c r="C150" s="49"/>
      <c r="D150" s="49"/>
      <c r="E150" s="49"/>
      <c r="F150" s="49"/>
      <c r="G150" s="49"/>
      <c r="H150" s="152"/>
      <c r="I150" s="49"/>
      <c r="J150" s="144"/>
      <c r="K150" s="49"/>
      <c r="L150" s="49"/>
      <c r="M150" s="136"/>
      <c r="N150" s="136"/>
      <c r="O150" s="136"/>
      <c r="P150" s="136"/>
      <c r="Q150" s="136"/>
      <c r="R150" s="136"/>
      <c r="S150" s="136"/>
      <c r="T150" s="136"/>
      <c r="U150" s="136"/>
    </row>
    <row r="151" ht="15.75" customHeight="1">
      <c r="A151" s="144">
        <v>148.0</v>
      </c>
      <c r="B151" s="49"/>
      <c r="C151" s="49"/>
      <c r="D151" s="49"/>
      <c r="E151" s="49"/>
      <c r="F151" s="49"/>
      <c r="G151" s="49"/>
      <c r="H151" s="152"/>
      <c r="I151" s="49"/>
      <c r="J151" s="144"/>
      <c r="K151" s="49"/>
      <c r="L151" s="49"/>
      <c r="M151" s="136"/>
      <c r="N151" s="136"/>
      <c r="O151" s="136"/>
      <c r="P151" s="136"/>
      <c r="Q151" s="136"/>
      <c r="R151" s="136"/>
      <c r="S151" s="136"/>
      <c r="T151" s="136"/>
      <c r="U151" s="136"/>
    </row>
    <row r="152" ht="15.75" customHeight="1">
      <c r="A152" s="144">
        <v>149.0</v>
      </c>
      <c r="B152" s="49"/>
      <c r="C152" s="49"/>
      <c r="D152" s="49"/>
      <c r="E152" s="49"/>
      <c r="F152" s="49"/>
      <c r="G152" s="49"/>
      <c r="H152" s="152"/>
      <c r="I152" s="49"/>
      <c r="J152" s="144"/>
      <c r="K152" s="49"/>
      <c r="L152" s="49"/>
      <c r="M152" s="136"/>
      <c r="N152" s="136"/>
      <c r="O152" s="136"/>
      <c r="P152" s="136"/>
      <c r="Q152" s="136"/>
      <c r="R152" s="136"/>
      <c r="S152" s="136"/>
      <c r="T152" s="136"/>
      <c r="U152" s="136"/>
    </row>
    <row r="153" ht="15.75" customHeight="1">
      <c r="A153" s="144">
        <v>150.0</v>
      </c>
      <c r="B153" s="49"/>
      <c r="C153" s="49"/>
      <c r="D153" s="49"/>
      <c r="E153" s="49"/>
      <c r="F153" s="49"/>
      <c r="G153" s="49"/>
      <c r="H153" s="152"/>
      <c r="I153" s="49"/>
      <c r="J153" s="144"/>
      <c r="K153" s="49"/>
      <c r="L153" s="49"/>
      <c r="M153" s="136"/>
      <c r="N153" s="136"/>
      <c r="O153" s="136"/>
      <c r="P153" s="136"/>
      <c r="Q153" s="136"/>
      <c r="R153" s="136"/>
      <c r="S153" s="136"/>
      <c r="T153" s="136"/>
      <c r="U153" s="136"/>
    </row>
    <row r="154" ht="15.75" customHeight="1">
      <c r="A154" s="144">
        <v>151.0</v>
      </c>
      <c r="B154" s="49"/>
      <c r="C154" s="49"/>
      <c r="D154" s="49"/>
      <c r="E154" s="49"/>
      <c r="F154" s="49"/>
      <c r="G154" s="49"/>
      <c r="H154" s="152"/>
      <c r="I154" s="49"/>
      <c r="J154" s="144"/>
      <c r="K154" s="49"/>
      <c r="L154" s="49"/>
      <c r="M154" s="136"/>
      <c r="N154" s="136"/>
      <c r="O154" s="136"/>
      <c r="P154" s="136"/>
      <c r="Q154" s="136"/>
      <c r="R154" s="136"/>
      <c r="S154" s="136"/>
      <c r="T154" s="136"/>
      <c r="U154" s="136"/>
    </row>
    <row r="155" ht="15.75" customHeight="1">
      <c r="A155" s="144">
        <v>152.0</v>
      </c>
      <c r="B155" s="49"/>
      <c r="C155" s="49"/>
      <c r="D155" s="159"/>
      <c r="E155" s="159"/>
      <c r="F155" s="159"/>
      <c r="G155" s="49"/>
      <c r="H155" s="152"/>
      <c r="I155" s="49"/>
      <c r="J155" s="144"/>
      <c r="K155" s="49"/>
      <c r="L155" s="49"/>
      <c r="M155" s="136"/>
      <c r="N155" s="136"/>
      <c r="O155" s="136"/>
      <c r="P155" s="136"/>
      <c r="Q155" s="136"/>
      <c r="R155" s="136"/>
      <c r="S155" s="136"/>
      <c r="T155" s="136"/>
      <c r="U155" s="136"/>
    </row>
    <row r="156" ht="15.75" customHeight="1">
      <c r="A156" s="144">
        <v>153.0</v>
      </c>
      <c r="B156" s="49"/>
      <c r="C156" s="49"/>
      <c r="D156" s="49"/>
      <c r="E156" s="49"/>
      <c r="F156" s="49"/>
      <c r="G156" s="49"/>
      <c r="H156" s="152"/>
      <c r="I156" s="49"/>
      <c r="J156" s="144"/>
      <c r="K156" s="49"/>
      <c r="L156" s="49"/>
      <c r="M156" s="136"/>
      <c r="N156" s="136"/>
      <c r="O156" s="136"/>
      <c r="P156" s="136"/>
      <c r="Q156" s="136"/>
      <c r="R156" s="136"/>
      <c r="S156" s="136"/>
      <c r="T156" s="136"/>
      <c r="U156" s="136"/>
    </row>
    <row r="157" ht="15.75" customHeight="1">
      <c r="A157" s="144">
        <v>154.0</v>
      </c>
      <c r="B157" s="49"/>
      <c r="C157" s="49"/>
      <c r="D157" s="49"/>
      <c r="E157" s="49"/>
      <c r="F157" s="49"/>
      <c r="G157" s="49"/>
      <c r="H157" s="152"/>
      <c r="I157" s="49"/>
      <c r="J157" s="144"/>
      <c r="K157" s="49"/>
      <c r="L157" s="49"/>
      <c r="M157" s="136"/>
      <c r="N157" s="136"/>
      <c r="O157" s="136"/>
      <c r="P157" s="136"/>
      <c r="Q157" s="136"/>
      <c r="R157" s="136"/>
      <c r="S157" s="136"/>
      <c r="T157" s="136"/>
      <c r="U157" s="136"/>
    </row>
    <row r="158" ht="15.75" customHeight="1">
      <c r="A158" s="144">
        <v>155.0</v>
      </c>
      <c r="B158" s="49"/>
      <c r="C158" s="49"/>
      <c r="D158" s="49"/>
      <c r="E158" s="49"/>
      <c r="F158" s="49"/>
      <c r="G158" s="49"/>
      <c r="H158" s="152"/>
      <c r="I158" s="49"/>
      <c r="J158" s="49"/>
      <c r="K158" s="49"/>
      <c r="L158" s="49"/>
      <c r="M158" s="136"/>
      <c r="N158" s="136"/>
      <c r="O158" s="136"/>
      <c r="P158" s="136"/>
      <c r="Q158" s="136"/>
      <c r="R158" s="136"/>
      <c r="S158" s="136"/>
      <c r="T158" s="136"/>
      <c r="U158" s="136"/>
    </row>
    <row r="159" ht="15.75" customHeight="1">
      <c r="A159" s="144">
        <v>156.0</v>
      </c>
      <c r="B159" s="49"/>
      <c r="C159" s="49"/>
      <c r="D159" s="49"/>
      <c r="E159" s="49"/>
      <c r="F159" s="49"/>
      <c r="G159" s="49"/>
      <c r="H159" s="152"/>
      <c r="I159" s="49"/>
      <c r="J159" s="49"/>
      <c r="K159" s="49"/>
      <c r="L159" s="49"/>
      <c r="M159" s="136"/>
      <c r="N159" s="136"/>
      <c r="O159" s="136"/>
      <c r="P159" s="136"/>
      <c r="Q159" s="136"/>
      <c r="R159" s="136"/>
      <c r="S159" s="136"/>
      <c r="T159" s="136"/>
      <c r="U159" s="136"/>
    </row>
    <row r="160" ht="15.75" customHeight="1">
      <c r="A160" s="144">
        <v>157.0</v>
      </c>
      <c r="B160" s="49"/>
      <c r="C160" s="49"/>
      <c r="D160" s="49"/>
      <c r="E160" s="49"/>
      <c r="F160" s="49"/>
      <c r="G160" s="49"/>
      <c r="H160" s="152"/>
      <c r="I160" s="49"/>
      <c r="J160" s="49"/>
      <c r="K160" s="49"/>
      <c r="L160" s="49"/>
      <c r="M160" s="136"/>
      <c r="N160" s="136"/>
      <c r="O160" s="136"/>
      <c r="P160" s="136"/>
      <c r="Q160" s="136"/>
      <c r="R160" s="136"/>
      <c r="S160" s="136"/>
      <c r="T160" s="136"/>
      <c r="U160" s="136"/>
    </row>
    <row r="161" ht="15.75" customHeight="1">
      <c r="A161" s="144">
        <v>158.0</v>
      </c>
      <c r="B161" s="49"/>
      <c r="C161" s="49"/>
      <c r="D161" s="49"/>
      <c r="E161" s="49"/>
      <c r="F161" s="49"/>
      <c r="G161" s="49"/>
      <c r="H161" s="152"/>
      <c r="I161" s="49"/>
      <c r="J161" s="49"/>
      <c r="K161" s="49"/>
      <c r="L161" s="49"/>
      <c r="M161" s="136"/>
      <c r="N161" s="136"/>
      <c r="O161" s="136"/>
      <c r="P161" s="136"/>
      <c r="Q161" s="136"/>
      <c r="R161" s="136"/>
      <c r="S161" s="136"/>
      <c r="T161" s="136"/>
      <c r="U161" s="136"/>
    </row>
    <row r="162" ht="15.75" customHeight="1">
      <c r="A162" s="144">
        <v>159.0</v>
      </c>
      <c r="B162" s="49"/>
      <c r="C162" s="49"/>
      <c r="D162" s="49"/>
      <c r="E162" s="49"/>
      <c r="F162" s="49"/>
      <c r="G162" s="49"/>
      <c r="H162" s="152"/>
      <c r="I162" s="49"/>
      <c r="J162" s="49"/>
      <c r="K162" s="49"/>
      <c r="L162" s="49"/>
      <c r="M162" s="136"/>
      <c r="N162" s="136"/>
      <c r="O162" s="136"/>
      <c r="P162" s="136"/>
      <c r="Q162" s="136"/>
      <c r="R162" s="136"/>
      <c r="S162" s="136"/>
      <c r="T162" s="136"/>
      <c r="U162" s="136"/>
    </row>
    <row r="163" ht="15.75" customHeight="1">
      <c r="A163" s="144">
        <v>160.0</v>
      </c>
      <c r="B163" s="49"/>
      <c r="C163" s="49"/>
      <c r="D163" s="49"/>
      <c r="E163" s="49"/>
      <c r="F163" s="49"/>
      <c r="G163" s="49"/>
      <c r="H163" s="152"/>
      <c r="I163" s="49"/>
      <c r="J163" s="49"/>
      <c r="K163" s="49"/>
      <c r="L163" s="49"/>
      <c r="M163" s="136"/>
      <c r="N163" s="136"/>
      <c r="O163" s="136"/>
      <c r="P163" s="136"/>
      <c r="Q163" s="136"/>
      <c r="R163" s="136"/>
      <c r="S163" s="136"/>
      <c r="T163" s="136"/>
      <c r="U163" s="136"/>
    </row>
    <row r="164" ht="15.75" customHeight="1">
      <c r="A164" s="144">
        <v>161.0</v>
      </c>
      <c r="B164" s="49"/>
      <c r="C164" s="49"/>
      <c r="D164" s="49"/>
      <c r="E164" s="49"/>
      <c r="F164" s="49"/>
      <c r="G164" s="49"/>
      <c r="H164" s="152"/>
      <c r="I164" s="49"/>
      <c r="J164" s="49"/>
      <c r="K164" s="49"/>
      <c r="L164" s="49"/>
      <c r="M164" s="136"/>
      <c r="N164" s="136"/>
      <c r="O164" s="136"/>
      <c r="P164" s="136"/>
      <c r="Q164" s="136"/>
      <c r="R164" s="136"/>
      <c r="S164" s="136"/>
      <c r="T164" s="136"/>
      <c r="U164" s="136"/>
    </row>
    <row r="165" ht="15.75" customHeight="1">
      <c r="A165" s="144">
        <v>162.0</v>
      </c>
      <c r="B165" s="49"/>
      <c r="C165" s="49"/>
      <c r="D165" s="49"/>
      <c r="E165" s="49"/>
      <c r="F165" s="49"/>
      <c r="G165" s="49"/>
      <c r="H165" s="152"/>
      <c r="I165" s="49"/>
      <c r="J165" s="49"/>
      <c r="K165" s="49"/>
      <c r="L165" s="49"/>
      <c r="M165" s="136"/>
      <c r="N165" s="136"/>
      <c r="O165" s="136"/>
      <c r="P165" s="136"/>
      <c r="Q165" s="136"/>
      <c r="R165" s="136"/>
      <c r="S165" s="136"/>
      <c r="T165" s="136"/>
      <c r="U165" s="136"/>
    </row>
    <row r="166" ht="15.75" customHeight="1">
      <c r="A166" s="144">
        <v>163.0</v>
      </c>
      <c r="B166" s="49"/>
      <c r="C166" s="49"/>
      <c r="D166" s="49"/>
      <c r="E166" s="49"/>
      <c r="F166" s="49"/>
      <c r="G166" s="49"/>
      <c r="H166" s="152"/>
      <c r="I166" s="49"/>
      <c r="J166" s="49"/>
      <c r="K166" s="49"/>
      <c r="L166" s="49"/>
      <c r="M166" s="136"/>
      <c r="N166" s="136"/>
      <c r="O166" s="136"/>
      <c r="P166" s="136"/>
      <c r="Q166" s="136"/>
      <c r="R166" s="136"/>
      <c r="S166" s="136"/>
      <c r="T166" s="136"/>
      <c r="U166" s="136"/>
    </row>
    <row r="167" ht="15.75" customHeight="1">
      <c r="A167" s="144">
        <v>164.0</v>
      </c>
      <c r="B167" s="49"/>
      <c r="C167" s="49"/>
      <c r="D167" s="49"/>
      <c r="E167" s="49"/>
      <c r="F167" s="49"/>
      <c r="G167" s="49"/>
      <c r="H167" s="152"/>
      <c r="I167" s="49"/>
      <c r="J167" s="49"/>
      <c r="K167" s="49"/>
      <c r="L167" s="49"/>
      <c r="M167" s="136"/>
      <c r="N167" s="136"/>
      <c r="O167" s="136"/>
      <c r="P167" s="136"/>
      <c r="Q167" s="136"/>
      <c r="R167" s="136"/>
      <c r="S167" s="136"/>
      <c r="T167" s="136"/>
      <c r="U167" s="136"/>
    </row>
    <row r="168" ht="15.75" customHeight="1">
      <c r="A168" s="144">
        <v>165.0</v>
      </c>
      <c r="B168" s="49"/>
      <c r="C168" s="49"/>
      <c r="D168" s="49"/>
      <c r="E168" s="49"/>
      <c r="F168" s="49"/>
      <c r="G168" s="49"/>
      <c r="H168" s="152"/>
      <c r="I168" s="49"/>
      <c r="J168" s="49"/>
      <c r="K168" s="49"/>
      <c r="L168" s="49"/>
      <c r="M168" s="136"/>
      <c r="N168" s="136"/>
      <c r="O168" s="136"/>
      <c r="P168" s="136"/>
      <c r="Q168" s="136"/>
      <c r="R168" s="136"/>
      <c r="S168" s="136"/>
      <c r="T168" s="136"/>
      <c r="U168" s="136"/>
    </row>
    <row r="169" ht="15.75" customHeight="1">
      <c r="A169" s="144">
        <v>166.0</v>
      </c>
      <c r="B169" s="49"/>
      <c r="C169" s="49"/>
      <c r="D169" s="49"/>
      <c r="E169" s="49"/>
      <c r="F169" s="49"/>
      <c r="G169" s="49"/>
      <c r="H169" s="152"/>
      <c r="I169" s="49"/>
      <c r="J169" s="49"/>
      <c r="K169" s="49"/>
      <c r="L169" s="49"/>
      <c r="M169" s="136"/>
      <c r="N169" s="136"/>
      <c r="O169" s="136"/>
      <c r="P169" s="136"/>
      <c r="Q169" s="136"/>
      <c r="R169" s="136"/>
      <c r="S169" s="136"/>
      <c r="T169" s="136"/>
      <c r="U169" s="136"/>
    </row>
    <row r="170" ht="15.75" customHeight="1">
      <c r="A170" s="144">
        <v>167.0</v>
      </c>
      <c r="B170" s="49"/>
      <c r="C170" s="49"/>
      <c r="D170" s="49"/>
      <c r="E170" s="49"/>
      <c r="F170" s="49"/>
      <c r="G170" s="49"/>
      <c r="H170" s="152"/>
      <c r="I170" s="49"/>
      <c r="J170" s="49"/>
      <c r="K170" s="49"/>
      <c r="L170" s="49"/>
      <c r="M170" s="136"/>
      <c r="N170" s="136"/>
      <c r="O170" s="136"/>
      <c r="P170" s="136"/>
      <c r="Q170" s="136"/>
      <c r="R170" s="136"/>
      <c r="S170" s="136"/>
      <c r="T170" s="136"/>
      <c r="U170" s="136"/>
    </row>
    <row r="171" ht="15.75" customHeight="1">
      <c r="A171" s="144">
        <v>168.0</v>
      </c>
      <c r="B171" s="49"/>
      <c r="C171" s="49"/>
      <c r="D171" s="49"/>
      <c r="E171" s="49"/>
      <c r="F171" s="49"/>
      <c r="G171" s="49"/>
      <c r="H171" s="152"/>
      <c r="I171" s="49"/>
      <c r="J171" s="49"/>
      <c r="K171" s="49"/>
      <c r="L171" s="49"/>
      <c r="M171" s="136"/>
      <c r="N171" s="136"/>
      <c r="O171" s="136"/>
      <c r="P171" s="136"/>
      <c r="Q171" s="136"/>
      <c r="R171" s="136"/>
      <c r="S171" s="136"/>
      <c r="T171" s="136"/>
      <c r="U171" s="136"/>
    </row>
    <row r="172" ht="15.75" customHeight="1">
      <c r="A172" s="144">
        <v>169.0</v>
      </c>
      <c r="B172" s="49"/>
      <c r="C172" s="49"/>
      <c r="D172" s="49"/>
      <c r="E172" s="49"/>
      <c r="F172" s="49"/>
      <c r="G172" s="49"/>
      <c r="H172" s="152"/>
      <c r="I172" s="49"/>
      <c r="J172" s="49"/>
      <c r="K172" s="49"/>
      <c r="L172" s="49"/>
      <c r="M172" s="136"/>
      <c r="N172" s="136"/>
      <c r="O172" s="136"/>
      <c r="P172" s="136"/>
      <c r="Q172" s="136"/>
      <c r="R172" s="136"/>
      <c r="S172" s="136"/>
      <c r="T172" s="136"/>
      <c r="U172" s="136"/>
    </row>
    <row r="173" ht="15.75" customHeight="1">
      <c r="A173" s="144">
        <v>170.0</v>
      </c>
      <c r="B173" s="49"/>
      <c r="C173" s="49"/>
      <c r="D173" s="49"/>
      <c r="E173" s="49"/>
      <c r="F173" s="49"/>
      <c r="G173" s="49"/>
      <c r="H173" s="152"/>
      <c r="I173" s="49"/>
      <c r="J173" s="49"/>
      <c r="K173" s="49"/>
      <c r="L173" s="49"/>
      <c r="M173" s="136"/>
      <c r="N173" s="136"/>
      <c r="O173" s="136"/>
      <c r="P173" s="136"/>
      <c r="Q173" s="136"/>
      <c r="R173" s="136"/>
      <c r="S173" s="136"/>
      <c r="T173" s="136"/>
      <c r="U173" s="136"/>
    </row>
    <row r="174" ht="15.75" customHeight="1">
      <c r="A174" s="144">
        <v>171.0</v>
      </c>
      <c r="B174" s="49"/>
      <c r="C174" s="49"/>
      <c r="D174" s="49"/>
      <c r="E174" s="49"/>
      <c r="F174" s="49"/>
      <c r="G174" s="49"/>
      <c r="H174" s="152"/>
      <c r="I174" s="49"/>
      <c r="J174" s="49"/>
      <c r="K174" s="49"/>
      <c r="L174" s="49"/>
      <c r="M174" s="136"/>
      <c r="N174" s="136"/>
      <c r="O174" s="136"/>
      <c r="P174" s="136"/>
      <c r="Q174" s="136"/>
      <c r="R174" s="136"/>
      <c r="S174" s="136"/>
      <c r="T174" s="136"/>
      <c r="U174" s="136"/>
    </row>
    <row r="175" ht="15.0" customHeight="1">
      <c r="A175" s="144">
        <v>172.0</v>
      </c>
      <c r="B175" s="49"/>
      <c r="C175" s="49"/>
      <c r="D175" s="49"/>
      <c r="E175" s="49"/>
      <c r="F175" s="49"/>
      <c r="G175" s="49"/>
      <c r="H175" s="152"/>
      <c r="I175" s="49"/>
      <c r="J175" s="49"/>
      <c r="K175" s="49"/>
      <c r="L175" s="49"/>
      <c r="M175" s="136"/>
      <c r="N175" s="136"/>
      <c r="O175" s="136"/>
      <c r="P175" s="136"/>
      <c r="Q175" s="136"/>
      <c r="R175" s="136"/>
      <c r="S175" s="136"/>
      <c r="T175" s="136"/>
      <c r="U175" s="136"/>
    </row>
    <row r="176" ht="15.0" customHeight="1">
      <c r="A176" s="144">
        <v>173.0</v>
      </c>
      <c r="B176" s="49"/>
      <c r="C176" s="49"/>
      <c r="D176" s="49"/>
      <c r="E176" s="49"/>
      <c r="F176" s="49"/>
      <c r="G176" s="49"/>
      <c r="H176" s="152"/>
      <c r="I176" s="49"/>
      <c r="J176" s="49"/>
      <c r="K176" s="49"/>
      <c r="L176" s="49"/>
      <c r="M176" s="136"/>
      <c r="N176" s="136"/>
      <c r="O176" s="136"/>
      <c r="P176" s="136"/>
      <c r="Q176" s="136"/>
      <c r="R176" s="136"/>
      <c r="S176" s="136"/>
      <c r="T176" s="136"/>
      <c r="U176" s="136"/>
    </row>
    <row r="177" ht="15.0" customHeight="1">
      <c r="A177" s="144">
        <v>174.0</v>
      </c>
      <c r="B177" s="49"/>
      <c r="C177" s="49"/>
      <c r="D177" s="49"/>
      <c r="E177" s="49"/>
      <c r="F177" s="49"/>
      <c r="G177" s="49"/>
      <c r="H177" s="152"/>
      <c r="I177" s="49"/>
      <c r="J177" s="49"/>
      <c r="K177" s="49"/>
      <c r="L177" s="49"/>
      <c r="M177" s="136"/>
      <c r="N177" s="136"/>
      <c r="O177" s="136"/>
      <c r="P177" s="136"/>
      <c r="Q177" s="136"/>
      <c r="R177" s="136"/>
      <c r="S177" s="136"/>
      <c r="T177" s="136"/>
      <c r="U177" s="136"/>
    </row>
    <row r="178" ht="15.0" customHeight="1">
      <c r="A178" s="144">
        <v>175.0</v>
      </c>
      <c r="B178" s="49"/>
      <c r="C178" s="49"/>
      <c r="D178" s="49"/>
      <c r="E178" s="49"/>
      <c r="F178" s="49"/>
      <c r="G178" s="49"/>
      <c r="H178" s="152"/>
      <c r="I178" s="49"/>
      <c r="J178" s="49"/>
      <c r="K178" s="49"/>
      <c r="L178" s="49"/>
      <c r="M178" s="136"/>
      <c r="N178" s="136"/>
      <c r="O178" s="136"/>
      <c r="P178" s="136"/>
      <c r="Q178" s="136"/>
      <c r="R178" s="136"/>
      <c r="S178" s="136"/>
      <c r="T178" s="136"/>
      <c r="U178" s="136"/>
    </row>
    <row r="179" ht="15.0" customHeight="1">
      <c r="A179" s="144">
        <v>176.0</v>
      </c>
      <c r="B179" s="49"/>
      <c r="C179" s="49"/>
      <c r="D179" s="49"/>
      <c r="E179" s="49"/>
      <c r="F179" s="49"/>
      <c r="G179" s="49"/>
      <c r="H179" s="152"/>
      <c r="I179" s="49"/>
      <c r="J179" s="49"/>
      <c r="K179" s="49"/>
      <c r="L179" s="49"/>
      <c r="M179" s="136"/>
      <c r="N179" s="136"/>
      <c r="O179" s="136"/>
      <c r="P179" s="136"/>
      <c r="Q179" s="136"/>
      <c r="R179" s="136"/>
      <c r="S179" s="136"/>
      <c r="T179" s="136"/>
      <c r="U179" s="136"/>
    </row>
    <row r="180" ht="15.0" customHeight="1">
      <c r="A180" s="144">
        <v>177.0</v>
      </c>
      <c r="B180" s="49"/>
      <c r="C180" s="49"/>
      <c r="D180" s="49"/>
      <c r="E180" s="49"/>
      <c r="F180" s="49"/>
      <c r="G180" s="49"/>
      <c r="H180" s="152"/>
      <c r="I180" s="49"/>
      <c r="J180" s="49"/>
      <c r="K180" s="49"/>
      <c r="L180" s="49"/>
      <c r="M180" s="136"/>
      <c r="N180" s="136"/>
      <c r="O180" s="136"/>
      <c r="P180" s="136"/>
      <c r="Q180" s="136"/>
      <c r="R180" s="136"/>
      <c r="S180" s="136"/>
      <c r="T180" s="136"/>
      <c r="U180" s="136"/>
    </row>
    <row r="181" ht="15.0" customHeight="1">
      <c r="A181" s="144">
        <v>178.0</v>
      </c>
      <c r="B181" s="49"/>
      <c r="C181" s="49"/>
      <c r="D181" s="49"/>
      <c r="E181" s="49"/>
      <c r="F181" s="49"/>
      <c r="G181" s="49"/>
      <c r="H181" s="152"/>
      <c r="I181" s="49"/>
      <c r="J181" s="49"/>
      <c r="K181" s="49"/>
      <c r="L181" s="49"/>
      <c r="M181" s="136"/>
      <c r="N181" s="136"/>
      <c r="O181" s="136"/>
      <c r="P181" s="136"/>
      <c r="Q181" s="136"/>
      <c r="R181" s="136"/>
      <c r="S181" s="136"/>
      <c r="T181" s="136"/>
      <c r="U181" s="136"/>
    </row>
    <row r="182" ht="15.0" customHeight="1">
      <c r="A182" s="144">
        <v>179.0</v>
      </c>
      <c r="B182" s="49"/>
      <c r="C182" s="49"/>
      <c r="D182" s="49"/>
      <c r="E182" s="49"/>
      <c r="F182" s="49"/>
      <c r="G182" s="49"/>
      <c r="H182" s="152"/>
      <c r="I182" s="49"/>
      <c r="J182" s="49"/>
      <c r="K182" s="49"/>
      <c r="L182" s="49"/>
      <c r="M182" s="136"/>
      <c r="N182" s="136"/>
      <c r="O182" s="136"/>
      <c r="P182" s="136"/>
      <c r="Q182" s="136"/>
      <c r="R182" s="136"/>
      <c r="S182" s="136"/>
      <c r="T182" s="136"/>
      <c r="U182" s="136"/>
    </row>
    <row r="183" ht="15.0" customHeight="1">
      <c r="A183" s="144">
        <v>180.0</v>
      </c>
      <c r="B183" s="49"/>
      <c r="C183" s="49"/>
      <c r="D183" s="49"/>
      <c r="E183" s="49"/>
      <c r="F183" s="49"/>
      <c r="G183" s="49"/>
      <c r="H183" s="152"/>
      <c r="I183" s="49"/>
      <c r="J183" s="49"/>
      <c r="K183" s="49"/>
      <c r="L183" s="49"/>
      <c r="M183" s="136"/>
      <c r="N183" s="136"/>
      <c r="O183" s="136"/>
      <c r="P183" s="136"/>
      <c r="Q183" s="136"/>
      <c r="R183" s="136"/>
      <c r="S183" s="136"/>
      <c r="T183" s="136"/>
      <c r="U183" s="136"/>
    </row>
    <row r="184" ht="15.0" customHeight="1">
      <c r="A184" s="144">
        <v>181.0</v>
      </c>
      <c r="B184" s="49"/>
      <c r="C184" s="49"/>
      <c r="D184" s="49"/>
      <c r="E184" s="49"/>
      <c r="F184" s="49"/>
      <c r="G184" s="49"/>
      <c r="H184" s="152"/>
      <c r="I184" s="49"/>
      <c r="J184" s="49"/>
      <c r="K184" s="49"/>
      <c r="L184" s="49"/>
      <c r="M184" s="136"/>
      <c r="N184" s="136"/>
      <c r="O184" s="136"/>
      <c r="P184" s="136"/>
      <c r="Q184" s="136"/>
      <c r="R184" s="136"/>
      <c r="S184" s="136"/>
      <c r="T184" s="136"/>
      <c r="U184" s="136"/>
    </row>
    <row r="185" ht="15.0" customHeight="1">
      <c r="A185" s="144">
        <v>182.0</v>
      </c>
      <c r="B185" s="49"/>
      <c r="C185" s="49"/>
      <c r="D185" s="49"/>
      <c r="E185" s="49"/>
      <c r="F185" s="49"/>
      <c r="G185" s="49"/>
      <c r="H185" s="152"/>
      <c r="I185" s="49"/>
      <c r="J185" s="49"/>
      <c r="K185" s="49"/>
      <c r="L185" s="49"/>
      <c r="M185" s="136"/>
      <c r="N185" s="136"/>
      <c r="O185" s="136"/>
      <c r="P185" s="136"/>
      <c r="Q185" s="136"/>
      <c r="R185" s="136"/>
      <c r="S185" s="136"/>
      <c r="T185" s="136"/>
      <c r="U185" s="136"/>
    </row>
    <row r="186" ht="15.0" customHeight="1">
      <c r="A186" s="144">
        <v>183.0</v>
      </c>
      <c r="B186" s="49"/>
      <c r="C186" s="49"/>
      <c r="D186" s="49"/>
      <c r="E186" s="49"/>
      <c r="F186" s="49"/>
      <c r="G186" s="49"/>
      <c r="H186" s="152"/>
      <c r="I186" s="49"/>
      <c r="J186" s="49"/>
      <c r="K186" s="49"/>
      <c r="L186" s="49"/>
      <c r="M186" s="136"/>
      <c r="N186" s="136"/>
      <c r="O186" s="136"/>
      <c r="P186" s="136"/>
      <c r="Q186" s="136"/>
      <c r="R186" s="136"/>
      <c r="S186" s="136"/>
      <c r="T186" s="136"/>
      <c r="U186" s="136"/>
    </row>
    <row r="187" ht="15.0" customHeight="1">
      <c r="A187" s="144">
        <v>184.0</v>
      </c>
      <c r="B187" s="49"/>
      <c r="C187" s="49"/>
      <c r="D187" s="49"/>
      <c r="E187" s="49"/>
      <c r="F187" s="49"/>
      <c r="G187" s="49"/>
      <c r="H187" s="152"/>
      <c r="I187" s="49"/>
      <c r="J187" s="49"/>
      <c r="K187" s="49"/>
      <c r="L187" s="49"/>
      <c r="M187" s="136"/>
      <c r="N187" s="136"/>
      <c r="O187" s="136"/>
      <c r="P187" s="136"/>
      <c r="Q187" s="136"/>
      <c r="R187" s="136"/>
      <c r="S187" s="136"/>
      <c r="T187" s="136"/>
      <c r="U187" s="136"/>
    </row>
    <row r="188" ht="15.0" customHeight="1">
      <c r="A188" s="144">
        <v>185.0</v>
      </c>
      <c r="B188" s="49"/>
      <c r="C188" s="49"/>
      <c r="D188" s="49"/>
      <c r="E188" s="49"/>
      <c r="F188" s="49"/>
      <c r="G188" s="49"/>
      <c r="H188" s="152"/>
      <c r="I188" s="49"/>
      <c r="J188" s="49"/>
      <c r="K188" s="49"/>
      <c r="L188" s="49"/>
      <c r="M188" s="136"/>
      <c r="N188" s="136"/>
      <c r="O188" s="136"/>
      <c r="P188" s="136"/>
      <c r="Q188" s="136"/>
      <c r="R188" s="136"/>
      <c r="S188" s="136"/>
      <c r="T188" s="136"/>
      <c r="U188" s="136"/>
    </row>
    <row r="189" ht="15.0" customHeight="1">
      <c r="A189" s="144">
        <v>186.0</v>
      </c>
      <c r="B189" s="49"/>
      <c r="C189" s="49"/>
      <c r="D189" s="49"/>
      <c r="E189" s="49"/>
      <c r="F189" s="49"/>
      <c r="G189" s="49"/>
      <c r="H189" s="152"/>
      <c r="I189" s="49"/>
      <c r="J189" s="49"/>
      <c r="K189" s="49"/>
      <c r="L189" s="49"/>
      <c r="M189" s="136"/>
      <c r="N189" s="136"/>
      <c r="O189" s="136"/>
      <c r="P189" s="136"/>
      <c r="Q189" s="136"/>
      <c r="R189" s="136"/>
      <c r="S189" s="136"/>
      <c r="T189" s="136"/>
      <c r="U189" s="136"/>
    </row>
    <row r="190" ht="15.0" customHeight="1">
      <c r="A190" s="144">
        <v>187.0</v>
      </c>
      <c r="B190" s="49"/>
      <c r="C190" s="49"/>
      <c r="D190" s="49"/>
      <c r="E190" s="49"/>
      <c r="F190" s="49"/>
      <c r="G190" s="49"/>
      <c r="H190" s="152"/>
      <c r="I190" s="49"/>
      <c r="J190" s="49"/>
      <c r="K190" s="49"/>
      <c r="L190" s="49"/>
      <c r="M190" s="136"/>
      <c r="N190" s="136"/>
      <c r="O190" s="136"/>
      <c r="P190" s="136"/>
      <c r="Q190" s="136"/>
      <c r="R190" s="136"/>
      <c r="S190" s="136"/>
      <c r="T190" s="136"/>
      <c r="U190" s="136"/>
    </row>
    <row r="191" ht="15.0" customHeight="1">
      <c r="A191" s="144">
        <v>188.0</v>
      </c>
      <c r="B191" s="49"/>
      <c r="C191" s="49"/>
      <c r="D191" s="49"/>
      <c r="E191" s="49"/>
      <c r="F191" s="49"/>
      <c r="G191" s="49"/>
      <c r="H191" s="152"/>
      <c r="I191" s="49"/>
      <c r="J191" s="49"/>
      <c r="K191" s="49"/>
      <c r="L191" s="49"/>
      <c r="M191" s="136"/>
      <c r="N191" s="136"/>
      <c r="O191" s="136"/>
      <c r="P191" s="136"/>
      <c r="Q191" s="136"/>
      <c r="R191" s="136"/>
      <c r="S191" s="136"/>
      <c r="T191" s="136"/>
      <c r="U191" s="136"/>
    </row>
    <row r="192" ht="15.0" customHeight="1">
      <c r="A192" s="144">
        <v>189.0</v>
      </c>
      <c r="B192" s="49"/>
      <c r="C192" s="49"/>
      <c r="D192" s="49"/>
      <c r="E192" s="49"/>
      <c r="F192" s="49"/>
      <c r="G192" s="49"/>
      <c r="H192" s="152"/>
      <c r="I192" s="49"/>
      <c r="J192" s="49"/>
      <c r="K192" s="49"/>
      <c r="L192" s="49"/>
      <c r="M192" s="136"/>
      <c r="N192" s="136"/>
      <c r="O192" s="136"/>
      <c r="P192" s="136"/>
      <c r="Q192" s="136"/>
      <c r="R192" s="136"/>
      <c r="S192" s="136"/>
      <c r="T192" s="136"/>
      <c r="U192" s="136"/>
    </row>
    <row r="193" ht="15.0" customHeight="1">
      <c r="A193" s="144">
        <v>190.0</v>
      </c>
      <c r="B193" s="49"/>
      <c r="C193" s="49"/>
      <c r="D193" s="49"/>
      <c r="E193" s="49"/>
      <c r="F193" s="49"/>
      <c r="G193" s="49"/>
      <c r="H193" s="152"/>
      <c r="I193" s="49"/>
      <c r="J193" s="49"/>
      <c r="K193" s="49"/>
      <c r="L193" s="49"/>
      <c r="M193" s="136"/>
      <c r="N193" s="136"/>
      <c r="O193" s="136"/>
      <c r="P193" s="136"/>
      <c r="Q193" s="136"/>
      <c r="R193" s="136"/>
      <c r="S193" s="136"/>
      <c r="T193" s="136"/>
      <c r="U193" s="136"/>
    </row>
    <row r="194" ht="15.0" customHeight="1">
      <c r="A194" s="144">
        <v>191.0</v>
      </c>
      <c r="B194" s="49"/>
      <c r="C194" s="49"/>
      <c r="D194" s="49"/>
      <c r="E194" s="49"/>
      <c r="F194" s="49"/>
      <c r="G194" s="49"/>
      <c r="H194" s="152"/>
      <c r="I194" s="49"/>
      <c r="J194" s="49"/>
      <c r="K194" s="49"/>
      <c r="L194" s="49"/>
      <c r="M194" s="136"/>
      <c r="N194" s="136"/>
      <c r="O194" s="136"/>
      <c r="P194" s="136"/>
      <c r="Q194" s="136"/>
      <c r="R194" s="136"/>
      <c r="S194" s="136"/>
      <c r="T194" s="136"/>
      <c r="U194" s="136"/>
    </row>
    <row r="195" ht="15.0" customHeight="1">
      <c r="A195" s="144">
        <v>192.0</v>
      </c>
      <c r="B195" s="49"/>
      <c r="C195" s="49"/>
      <c r="D195" s="49"/>
      <c r="E195" s="49"/>
      <c r="F195" s="49"/>
      <c r="G195" s="49"/>
      <c r="H195" s="152"/>
      <c r="I195" s="49"/>
      <c r="J195" s="49"/>
      <c r="K195" s="49"/>
      <c r="L195" s="49"/>
      <c r="M195" s="136"/>
      <c r="N195" s="136"/>
      <c r="O195" s="136"/>
      <c r="P195" s="136"/>
      <c r="Q195" s="136"/>
      <c r="R195" s="136"/>
      <c r="S195" s="136"/>
      <c r="T195" s="136"/>
      <c r="U195" s="136"/>
    </row>
    <row r="196" ht="15.0" customHeight="1">
      <c r="A196" s="144">
        <v>193.0</v>
      </c>
      <c r="B196" s="49"/>
      <c r="C196" s="49"/>
      <c r="D196" s="49"/>
      <c r="E196" s="49"/>
      <c r="F196" s="49"/>
      <c r="G196" s="49"/>
      <c r="H196" s="152"/>
      <c r="I196" s="49"/>
      <c r="J196" s="49"/>
      <c r="K196" s="49"/>
      <c r="L196" s="49"/>
      <c r="M196" s="136"/>
      <c r="N196" s="136"/>
      <c r="O196" s="136"/>
      <c r="P196" s="136"/>
      <c r="Q196" s="136"/>
      <c r="R196" s="136"/>
      <c r="S196" s="136"/>
      <c r="T196" s="136"/>
      <c r="U196" s="136"/>
    </row>
    <row r="197" ht="15.0" customHeight="1">
      <c r="A197" s="144">
        <v>194.0</v>
      </c>
      <c r="B197" s="49"/>
      <c r="C197" s="49"/>
      <c r="D197" s="49"/>
      <c r="E197" s="49"/>
      <c r="F197" s="49"/>
      <c r="G197" s="49"/>
      <c r="H197" s="152"/>
      <c r="I197" s="49"/>
      <c r="J197" s="49"/>
      <c r="K197" s="49"/>
      <c r="L197" s="49"/>
      <c r="M197" s="136"/>
      <c r="N197" s="136"/>
      <c r="O197" s="136"/>
      <c r="P197" s="136"/>
      <c r="Q197" s="136"/>
      <c r="R197" s="136"/>
      <c r="S197" s="136"/>
      <c r="T197" s="136"/>
      <c r="U197" s="136"/>
    </row>
    <row r="198" ht="15.0" customHeight="1">
      <c r="A198" s="144">
        <v>195.0</v>
      </c>
      <c r="B198" s="49"/>
      <c r="C198" s="49"/>
      <c r="D198" s="49"/>
      <c r="E198" s="49"/>
      <c r="F198" s="49"/>
      <c r="G198" s="49"/>
      <c r="H198" s="152"/>
      <c r="I198" s="49"/>
      <c r="J198" s="49"/>
      <c r="K198" s="49"/>
      <c r="L198" s="49"/>
      <c r="M198" s="136"/>
      <c r="N198" s="136"/>
      <c r="O198" s="136"/>
      <c r="P198" s="136"/>
      <c r="Q198" s="136"/>
      <c r="R198" s="136"/>
      <c r="S198" s="136"/>
      <c r="T198" s="136"/>
      <c r="U198" s="136"/>
    </row>
    <row r="199" ht="15.0" customHeight="1">
      <c r="A199" s="144">
        <v>196.0</v>
      </c>
      <c r="B199" s="49"/>
      <c r="C199" s="49"/>
      <c r="D199" s="49"/>
      <c r="E199" s="49"/>
      <c r="F199" s="49"/>
      <c r="G199" s="49"/>
      <c r="H199" s="152"/>
      <c r="I199" s="49"/>
      <c r="J199" s="49"/>
      <c r="K199" s="49"/>
      <c r="L199" s="49"/>
      <c r="M199" s="136"/>
      <c r="N199" s="136"/>
      <c r="O199" s="136"/>
      <c r="P199" s="136"/>
      <c r="Q199" s="136"/>
      <c r="R199" s="136"/>
      <c r="S199" s="136"/>
      <c r="T199" s="136"/>
      <c r="U199" s="136"/>
    </row>
    <row r="200" ht="15.0" customHeight="1">
      <c r="A200" s="144">
        <v>197.0</v>
      </c>
      <c r="B200" s="49"/>
      <c r="C200" s="49"/>
      <c r="D200" s="49"/>
      <c r="E200" s="49"/>
      <c r="F200" s="49"/>
      <c r="G200" s="49"/>
      <c r="H200" s="152"/>
      <c r="I200" s="49"/>
      <c r="J200" s="49"/>
      <c r="K200" s="49"/>
      <c r="L200" s="49"/>
      <c r="M200" s="136"/>
      <c r="N200" s="136"/>
      <c r="O200" s="136"/>
      <c r="P200" s="136"/>
      <c r="Q200" s="136"/>
      <c r="R200" s="136"/>
      <c r="S200" s="136"/>
      <c r="T200" s="136"/>
      <c r="U200" s="136"/>
    </row>
    <row r="201" ht="15.0" customHeight="1">
      <c r="A201" s="144">
        <v>198.0</v>
      </c>
      <c r="B201" s="49"/>
      <c r="C201" s="49"/>
      <c r="D201" s="49"/>
      <c r="E201" s="49"/>
      <c r="F201" s="49"/>
      <c r="G201" s="49"/>
      <c r="H201" s="152"/>
      <c r="I201" s="49"/>
      <c r="J201" s="49"/>
      <c r="K201" s="49"/>
      <c r="L201" s="49"/>
      <c r="M201" s="136"/>
      <c r="N201" s="136"/>
      <c r="O201" s="136"/>
      <c r="P201" s="136"/>
      <c r="Q201" s="136"/>
      <c r="R201" s="136"/>
      <c r="S201" s="136"/>
      <c r="T201" s="136"/>
      <c r="U201" s="136"/>
    </row>
    <row r="202" ht="15.0" customHeight="1">
      <c r="A202" s="144">
        <v>199.0</v>
      </c>
      <c r="B202" s="49"/>
      <c r="C202" s="49"/>
      <c r="D202" s="49"/>
      <c r="E202" s="49"/>
      <c r="F202" s="49"/>
      <c r="G202" s="49"/>
      <c r="H202" s="152"/>
      <c r="I202" s="49"/>
      <c r="J202" s="49"/>
      <c r="K202" s="49"/>
      <c r="L202" s="49"/>
      <c r="M202" s="136"/>
      <c r="N202" s="136"/>
      <c r="O202" s="136"/>
      <c r="P202" s="136"/>
      <c r="Q202" s="136"/>
      <c r="R202" s="136"/>
      <c r="S202" s="136"/>
      <c r="T202" s="136"/>
      <c r="U202" s="136"/>
    </row>
    <row r="203" ht="15.0" customHeight="1">
      <c r="A203" s="144">
        <v>200.0</v>
      </c>
      <c r="B203" s="49"/>
      <c r="C203" s="49"/>
      <c r="D203" s="49"/>
      <c r="E203" s="49"/>
      <c r="F203" s="49"/>
      <c r="G203" s="49"/>
      <c r="H203" s="152"/>
      <c r="I203" s="49"/>
      <c r="J203" s="49"/>
      <c r="K203" s="49"/>
      <c r="L203" s="49"/>
      <c r="M203" s="136"/>
      <c r="N203" s="136"/>
      <c r="O203" s="136"/>
      <c r="P203" s="136"/>
      <c r="Q203" s="136"/>
      <c r="R203" s="136"/>
      <c r="S203" s="136"/>
      <c r="T203" s="136"/>
      <c r="U203" s="136"/>
    </row>
    <row r="204" ht="15.0" customHeight="1">
      <c r="A204" s="144">
        <v>201.0</v>
      </c>
      <c r="B204" s="49"/>
      <c r="C204" s="49"/>
      <c r="D204" s="49"/>
      <c r="E204" s="49"/>
      <c r="F204" s="49"/>
      <c r="G204" s="49"/>
      <c r="H204" s="152"/>
      <c r="I204" s="49"/>
      <c r="J204" s="49"/>
      <c r="K204" s="49"/>
      <c r="L204" s="49"/>
      <c r="M204" s="136"/>
      <c r="N204" s="136"/>
      <c r="O204" s="136"/>
      <c r="P204" s="136"/>
      <c r="Q204" s="136"/>
      <c r="R204" s="136"/>
      <c r="S204" s="136"/>
      <c r="T204" s="136"/>
      <c r="U204" s="136"/>
    </row>
    <row r="205" ht="15.0" customHeight="1">
      <c r="A205" s="144">
        <v>202.0</v>
      </c>
      <c r="B205" s="49"/>
      <c r="C205" s="49"/>
      <c r="D205" s="49"/>
      <c r="E205" s="49"/>
      <c r="F205" s="49"/>
      <c r="G205" s="49"/>
      <c r="H205" s="152"/>
      <c r="I205" s="49"/>
      <c r="J205" s="49"/>
      <c r="K205" s="49"/>
      <c r="L205" s="49"/>
      <c r="M205" s="136"/>
      <c r="N205" s="136"/>
      <c r="O205" s="136"/>
      <c r="P205" s="136"/>
      <c r="Q205" s="136"/>
      <c r="R205" s="136"/>
      <c r="S205" s="136"/>
      <c r="T205" s="136"/>
      <c r="U205" s="136"/>
    </row>
    <row r="206" ht="15.0" customHeight="1">
      <c r="A206" s="144">
        <v>203.0</v>
      </c>
      <c r="B206" s="49"/>
      <c r="C206" s="49"/>
      <c r="D206" s="49"/>
      <c r="E206" s="49"/>
      <c r="F206" s="49"/>
      <c r="G206" s="49"/>
      <c r="H206" s="152"/>
      <c r="I206" s="49"/>
      <c r="J206" s="49"/>
      <c r="K206" s="49"/>
      <c r="L206" s="49"/>
      <c r="M206" s="136"/>
      <c r="N206" s="136"/>
      <c r="O206" s="136"/>
      <c r="P206" s="136"/>
      <c r="Q206" s="136"/>
      <c r="R206" s="136"/>
      <c r="S206" s="136"/>
      <c r="T206" s="136"/>
      <c r="U206" s="136"/>
    </row>
    <row r="207" ht="15.0" customHeight="1">
      <c r="A207" s="144"/>
      <c r="B207" s="49"/>
      <c r="C207" s="49"/>
      <c r="D207" s="49"/>
      <c r="E207" s="49"/>
      <c r="F207" s="49"/>
      <c r="G207" s="49"/>
      <c r="H207" s="152"/>
      <c r="I207" s="49"/>
      <c r="J207" s="49"/>
      <c r="K207" s="49"/>
      <c r="L207" s="49"/>
      <c r="M207" s="136"/>
      <c r="N207" s="136"/>
      <c r="O207" s="136"/>
      <c r="P207" s="136"/>
      <c r="Q207" s="136"/>
      <c r="R207" s="136"/>
      <c r="S207" s="136"/>
      <c r="T207" s="136"/>
      <c r="U207" s="136"/>
    </row>
    <row r="208" ht="15.0" customHeight="1">
      <c r="A208" s="144"/>
      <c r="B208" s="49"/>
      <c r="C208" s="49"/>
      <c r="D208" s="49"/>
      <c r="E208" s="49"/>
      <c r="F208" s="49"/>
      <c r="G208" s="49"/>
      <c r="H208" s="152"/>
      <c r="I208" s="49"/>
      <c r="J208" s="49"/>
      <c r="K208" s="49"/>
      <c r="L208" s="49"/>
      <c r="M208" s="136"/>
      <c r="N208" s="136"/>
      <c r="O208" s="136"/>
      <c r="P208" s="136"/>
      <c r="Q208" s="136"/>
      <c r="R208" s="136"/>
      <c r="S208" s="136"/>
      <c r="T208" s="136"/>
      <c r="U208" s="136"/>
    </row>
    <row r="209" ht="15.0" customHeight="1">
      <c r="A209" s="144"/>
      <c r="B209" s="49"/>
      <c r="C209" s="49"/>
      <c r="D209" s="49"/>
      <c r="E209" s="49"/>
      <c r="F209" s="49"/>
      <c r="G209" s="49"/>
      <c r="H209" s="152"/>
      <c r="I209" s="49"/>
      <c r="J209" s="49"/>
      <c r="K209" s="49"/>
      <c r="L209" s="49"/>
      <c r="M209" s="136"/>
      <c r="N209" s="136"/>
      <c r="O209" s="136"/>
      <c r="P209" s="136"/>
      <c r="Q209" s="136"/>
      <c r="R209" s="136"/>
      <c r="S209" s="136"/>
      <c r="T209" s="136"/>
      <c r="U209" s="136"/>
    </row>
    <row r="210" ht="15.0" customHeight="1">
      <c r="A210" s="144"/>
      <c r="B210" s="49"/>
      <c r="C210" s="49"/>
      <c r="D210" s="49"/>
      <c r="E210" s="49"/>
      <c r="F210" s="49"/>
      <c r="G210" s="49"/>
      <c r="H210" s="152"/>
      <c r="I210" s="49"/>
      <c r="J210" s="49"/>
      <c r="K210" s="49"/>
      <c r="L210" s="49"/>
      <c r="M210" s="136"/>
      <c r="N210" s="136"/>
      <c r="O210" s="136"/>
      <c r="P210" s="136"/>
      <c r="Q210" s="136"/>
      <c r="R210" s="136"/>
      <c r="S210" s="136"/>
      <c r="T210" s="136"/>
      <c r="U210" s="136"/>
    </row>
    <row r="211" ht="15.0" customHeight="1">
      <c r="A211" s="144"/>
      <c r="B211" s="49"/>
      <c r="C211" s="49"/>
      <c r="D211" s="49"/>
      <c r="E211" s="49"/>
      <c r="F211" s="49"/>
      <c r="G211" s="49"/>
      <c r="H211" s="152"/>
      <c r="I211" s="49"/>
      <c r="J211" s="49"/>
      <c r="K211" s="49"/>
      <c r="L211" s="49"/>
      <c r="M211" s="136"/>
      <c r="N211" s="136"/>
      <c r="O211" s="136"/>
      <c r="P211" s="136"/>
      <c r="Q211" s="136"/>
      <c r="R211" s="136"/>
      <c r="S211" s="136"/>
      <c r="T211" s="136"/>
      <c r="U211" s="136"/>
    </row>
    <row r="212" ht="15.0" customHeight="1">
      <c r="A212" s="144"/>
      <c r="B212" s="49"/>
      <c r="C212" s="49"/>
      <c r="D212" s="49"/>
      <c r="E212" s="49"/>
      <c r="F212" s="49"/>
      <c r="G212" s="49"/>
      <c r="H212" s="152"/>
      <c r="I212" s="49"/>
      <c r="J212" s="49"/>
      <c r="K212" s="49"/>
      <c r="L212" s="49"/>
      <c r="M212" s="136"/>
      <c r="N212" s="136"/>
      <c r="O212" s="136"/>
      <c r="P212" s="136"/>
      <c r="Q212" s="136"/>
      <c r="R212" s="136"/>
      <c r="S212" s="136"/>
      <c r="T212" s="136"/>
      <c r="U212" s="136"/>
    </row>
    <row r="213" ht="15.75" customHeight="1">
      <c r="A213" s="160"/>
      <c r="B213" s="136"/>
      <c r="C213" s="136"/>
      <c r="D213" s="136"/>
      <c r="E213" s="136"/>
      <c r="F213" s="136"/>
      <c r="G213" s="136"/>
      <c r="H213" s="136"/>
      <c r="I213" s="136"/>
      <c r="J213" s="136"/>
      <c r="K213" s="136"/>
      <c r="L213" s="136"/>
      <c r="M213" s="136"/>
      <c r="N213" s="136"/>
      <c r="O213" s="136"/>
      <c r="P213" s="136"/>
      <c r="Q213" s="136"/>
      <c r="R213" s="136"/>
      <c r="S213" s="136"/>
      <c r="T213" s="136"/>
      <c r="U213" s="136"/>
    </row>
    <row r="214" ht="15.75" customHeight="1">
      <c r="A214" s="160"/>
      <c r="B214" s="136"/>
      <c r="C214" s="136"/>
      <c r="D214" s="136"/>
      <c r="E214" s="136"/>
      <c r="F214" s="136"/>
      <c r="G214" s="136"/>
      <c r="H214" s="136"/>
      <c r="I214" s="136"/>
      <c r="J214" s="136"/>
      <c r="K214" s="136"/>
      <c r="L214" s="136"/>
      <c r="M214" s="136"/>
      <c r="N214" s="136"/>
      <c r="O214" s="136"/>
      <c r="P214" s="136"/>
      <c r="Q214" s="136"/>
      <c r="R214" s="136"/>
      <c r="S214" s="136"/>
      <c r="T214" s="136"/>
      <c r="U214" s="136"/>
    </row>
    <row r="215" ht="15.75" customHeight="1">
      <c r="A215" s="160"/>
      <c r="B215" s="136"/>
      <c r="C215" s="136"/>
      <c r="D215" s="136"/>
      <c r="E215" s="136"/>
      <c r="F215" s="136"/>
      <c r="G215" s="136"/>
      <c r="H215" s="136"/>
      <c r="I215" s="136"/>
      <c r="J215" s="136"/>
      <c r="K215" s="136"/>
      <c r="L215" s="136"/>
      <c r="M215" s="136"/>
      <c r="N215" s="136"/>
      <c r="O215" s="136"/>
      <c r="P215" s="136"/>
      <c r="Q215" s="136"/>
      <c r="R215" s="136"/>
      <c r="S215" s="136"/>
      <c r="T215" s="136"/>
      <c r="U215" s="136"/>
    </row>
    <row r="216" ht="15.75" customHeight="1">
      <c r="A216" s="160"/>
      <c r="B216" s="136"/>
      <c r="C216" s="136"/>
      <c r="D216" s="136"/>
      <c r="E216" s="136"/>
      <c r="F216" s="136"/>
      <c r="G216" s="136"/>
      <c r="H216" s="136"/>
      <c r="I216" s="136"/>
      <c r="J216" s="136"/>
      <c r="K216" s="136"/>
      <c r="L216" s="136"/>
      <c r="M216" s="136"/>
      <c r="N216" s="136"/>
      <c r="O216" s="136"/>
      <c r="P216" s="136"/>
      <c r="Q216" s="136"/>
      <c r="R216" s="136"/>
      <c r="S216" s="136"/>
      <c r="T216" s="136"/>
      <c r="U216" s="136"/>
    </row>
    <row r="217" ht="15.75" customHeight="1">
      <c r="A217" s="160"/>
      <c r="B217" s="136"/>
      <c r="C217" s="136"/>
      <c r="D217" s="136"/>
      <c r="E217" s="136"/>
      <c r="F217" s="136"/>
      <c r="G217" s="136"/>
      <c r="H217" s="136"/>
      <c r="I217" s="136"/>
      <c r="J217" s="136"/>
      <c r="K217" s="136"/>
      <c r="L217" s="136"/>
      <c r="M217" s="136"/>
      <c r="N217" s="136"/>
      <c r="O217" s="136"/>
      <c r="P217" s="136"/>
      <c r="Q217" s="136"/>
      <c r="R217" s="136"/>
      <c r="S217" s="136"/>
      <c r="T217" s="136"/>
      <c r="U217" s="136"/>
    </row>
    <row r="218" ht="15.75" customHeight="1">
      <c r="A218" s="160"/>
      <c r="B218" s="136"/>
      <c r="C218" s="136"/>
      <c r="D218" s="136"/>
      <c r="E218" s="136"/>
      <c r="F218" s="136"/>
      <c r="G218" s="136"/>
      <c r="H218" s="136"/>
      <c r="I218" s="136"/>
      <c r="J218" s="136"/>
      <c r="K218" s="136"/>
      <c r="L218" s="136"/>
      <c r="M218" s="136"/>
      <c r="N218" s="136"/>
      <c r="O218" s="136"/>
      <c r="P218" s="136"/>
      <c r="Q218" s="136"/>
      <c r="R218" s="136"/>
      <c r="S218" s="136"/>
      <c r="T218" s="136"/>
      <c r="U218" s="136"/>
    </row>
    <row r="219" ht="15.75" customHeight="1">
      <c r="A219" s="160"/>
      <c r="B219" s="136"/>
      <c r="C219" s="136"/>
      <c r="D219" s="136"/>
      <c r="E219" s="136"/>
      <c r="F219" s="136"/>
      <c r="G219" s="136"/>
      <c r="H219" s="136"/>
      <c r="I219" s="136"/>
      <c r="J219" s="136"/>
      <c r="K219" s="136"/>
      <c r="L219" s="136"/>
      <c r="M219" s="136"/>
      <c r="N219" s="136"/>
      <c r="O219" s="136"/>
      <c r="P219" s="136"/>
      <c r="Q219" s="136"/>
      <c r="R219" s="136"/>
      <c r="S219" s="136"/>
      <c r="T219" s="136"/>
      <c r="U219" s="136"/>
    </row>
    <row r="220" ht="15.75" customHeight="1">
      <c r="A220" s="160"/>
      <c r="B220" s="136"/>
      <c r="C220" s="136"/>
      <c r="D220" s="136"/>
      <c r="E220" s="136"/>
      <c r="F220" s="136"/>
      <c r="G220" s="136"/>
      <c r="H220" s="136"/>
      <c r="I220" s="136"/>
      <c r="J220" s="136"/>
      <c r="K220" s="136"/>
      <c r="L220" s="136"/>
      <c r="M220" s="136"/>
      <c r="N220" s="136"/>
      <c r="O220" s="136"/>
      <c r="P220" s="136"/>
      <c r="Q220" s="136"/>
      <c r="R220" s="136"/>
      <c r="S220" s="136"/>
      <c r="T220" s="136"/>
      <c r="U220" s="136"/>
    </row>
    <row r="221" ht="15.75" customHeight="1">
      <c r="A221" s="160"/>
      <c r="B221" s="136"/>
      <c r="C221" s="136"/>
      <c r="D221" s="136"/>
      <c r="E221" s="136"/>
      <c r="F221" s="136"/>
      <c r="G221" s="136"/>
      <c r="H221" s="136"/>
      <c r="I221" s="136"/>
      <c r="J221" s="136"/>
      <c r="K221" s="136"/>
      <c r="L221" s="136"/>
      <c r="M221" s="136"/>
      <c r="N221" s="136"/>
      <c r="O221" s="136"/>
      <c r="P221" s="136"/>
      <c r="Q221" s="136"/>
      <c r="R221" s="136"/>
      <c r="S221" s="136"/>
      <c r="T221" s="136"/>
      <c r="U221" s="136"/>
    </row>
    <row r="222" ht="15.75" customHeight="1">
      <c r="A222" s="160"/>
      <c r="B222" s="136"/>
      <c r="C222" s="136"/>
      <c r="D222" s="136"/>
      <c r="E222" s="136"/>
      <c r="F222" s="136"/>
      <c r="G222" s="136"/>
      <c r="H222" s="136"/>
      <c r="I222" s="136"/>
      <c r="J222" s="136"/>
      <c r="K222" s="136"/>
      <c r="L222" s="136"/>
      <c r="M222" s="136"/>
      <c r="N222" s="136"/>
      <c r="O222" s="136"/>
      <c r="P222" s="136"/>
      <c r="Q222" s="136"/>
      <c r="R222" s="136"/>
      <c r="S222" s="136"/>
      <c r="T222" s="136"/>
      <c r="U222" s="136"/>
    </row>
    <row r="223" ht="15.75" customHeight="1">
      <c r="A223" s="160"/>
      <c r="B223" s="136"/>
      <c r="C223" s="136"/>
      <c r="D223" s="136"/>
      <c r="E223" s="136"/>
      <c r="F223" s="136"/>
      <c r="G223" s="136"/>
      <c r="H223" s="136"/>
      <c r="I223" s="136"/>
      <c r="J223" s="136"/>
      <c r="K223" s="136"/>
      <c r="L223" s="136"/>
      <c r="M223" s="136"/>
      <c r="N223" s="136"/>
      <c r="O223" s="136"/>
      <c r="P223" s="136"/>
      <c r="Q223" s="136"/>
      <c r="R223" s="136"/>
      <c r="S223" s="136"/>
      <c r="T223" s="136"/>
      <c r="U223" s="136"/>
    </row>
    <row r="224" ht="15.75" customHeight="1">
      <c r="A224" s="160"/>
      <c r="B224" s="136"/>
      <c r="C224" s="136"/>
      <c r="D224" s="136"/>
      <c r="E224" s="136"/>
      <c r="F224" s="136"/>
      <c r="G224" s="136"/>
      <c r="H224" s="136"/>
      <c r="I224" s="136"/>
      <c r="J224" s="136"/>
      <c r="K224" s="136"/>
      <c r="L224" s="136"/>
      <c r="M224" s="136"/>
      <c r="N224" s="136"/>
      <c r="O224" s="136"/>
      <c r="P224" s="136"/>
      <c r="Q224" s="136"/>
      <c r="R224" s="136"/>
      <c r="S224" s="136"/>
      <c r="T224" s="136"/>
      <c r="U224" s="136"/>
    </row>
    <row r="225" ht="15.75" customHeight="1">
      <c r="A225" s="160"/>
      <c r="B225" s="136"/>
      <c r="C225" s="136"/>
      <c r="D225" s="136"/>
      <c r="E225" s="136"/>
      <c r="F225" s="136"/>
      <c r="G225" s="136"/>
      <c r="H225" s="136"/>
      <c r="I225" s="136"/>
      <c r="J225" s="136"/>
      <c r="K225" s="136"/>
      <c r="L225" s="136"/>
      <c r="M225" s="136"/>
      <c r="N225" s="136"/>
      <c r="O225" s="136"/>
      <c r="P225" s="136"/>
      <c r="Q225" s="136"/>
      <c r="R225" s="136"/>
      <c r="S225" s="136"/>
      <c r="T225" s="136"/>
      <c r="U225" s="136"/>
    </row>
    <row r="226" ht="15.75" customHeight="1">
      <c r="A226" s="160"/>
      <c r="B226" s="136"/>
      <c r="C226" s="136"/>
      <c r="D226" s="136"/>
      <c r="E226" s="136"/>
      <c r="F226" s="136"/>
      <c r="G226" s="136"/>
      <c r="H226" s="136"/>
      <c r="I226" s="136"/>
      <c r="J226" s="136"/>
      <c r="K226" s="136"/>
      <c r="L226" s="136"/>
      <c r="M226" s="136"/>
      <c r="N226" s="136"/>
      <c r="O226" s="136"/>
      <c r="P226" s="136"/>
      <c r="Q226" s="136"/>
      <c r="R226" s="136"/>
      <c r="S226" s="136"/>
      <c r="T226" s="136"/>
      <c r="U226" s="136"/>
    </row>
    <row r="227" ht="15.75" customHeight="1">
      <c r="A227" s="160"/>
      <c r="B227" s="136"/>
      <c r="C227" s="136"/>
      <c r="D227" s="136"/>
      <c r="E227" s="136"/>
      <c r="F227" s="136"/>
      <c r="G227" s="136"/>
      <c r="H227" s="136"/>
      <c r="I227" s="136"/>
      <c r="J227" s="136"/>
      <c r="K227" s="136"/>
      <c r="L227" s="136"/>
      <c r="M227" s="136"/>
      <c r="N227" s="136"/>
      <c r="O227" s="136"/>
      <c r="P227" s="136"/>
      <c r="Q227" s="136"/>
      <c r="R227" s="136"/>
      <c r="S227" s="136"/>
      <c r="T227" s="136"/>
      <c r="U227" s="136"/>
    </row>
    <row r="228" ht="15.75" customHeight="1">
      <c r="A228" s="160"/>
      <c r="B228" s="136"/>
      <c r="C228" s="136"/>
      <c r="D228" s="136"/>
      <c r="E228" s="136"/>
      <c r="F228" s="136"/>
      <c r="G228" s="136"/>
      <c r="H228" s="136"/>
      <c r="I228" s="136"/>
      <c r="J228" s="136"/>
      <c r="K228" s="136"/>
      <c r="L228" s="136"/>
      <c r="M228" s="136"/>
      <c r="N228" s="136"/>
      <c r="O228" s="136"/>
      <c r="P228" s="136"/>
      <c r="Q228" s="136"/>
      <c r="R228" s="136"/>
      <c r="S228" s="136"/>
      <c r="T228" s="136"/>
      <c r="U228" s="136"/>
    </row>
    <row r="229" ht="15.75" customHeight="1">
      <c r="A229" s="160"/>
      <c r="B229" s="136"/>
      <c r="C229" s="136"/>
      <c r="D229" s="136"/>
      <c r="E229" s="136"/>
      <c r="F229" s="136"/>
      <c r="G229" s="136"/>
      <c r="H229" s="136"/>
      <c r="I229" s="136"/>
      <c r="J229" s="136"/>
      <c r="K229" s="136"/>
      <c r="L229" s="136"/>
      <c r="M229" s="136"/>
      <c r="N229" s="136"/>
      <c r="O229" s="136"/>
      <c r="P229" s="136"/>
      <c r="Q229" s="136"/>
      <c r="R229" s="136"/>
      <c r="S229" s="136"/>
      <c r="T229" s="136"/>
      <c r="U229" s="136"/>
    </row>
    <row r="230" ht="15.75" customHeight="1">
      <c r="A230" s="160"/>
      <c r="B230" s="136"/>
      <c r="C230" s="136"/>
      <c r="D230" s="136"/>
      <c r="E230" s="136"/>
      <c r="F230" s="136"/>
      <c r="G230" s="136"/>
      <c r="H230" s="136"/>
      <c r="I230" s="136"/>
      <c r="J230" s="136"/>
      <c r="K230" s="136"/>
      <c r="L230" s="136"/>
      <c r="M230" s="136"/>
      <c r="N230" s="136"/>
      <c r="O230" s="136"/>
      <c r="P230" s="136"/>
      <c r="Q230" s="136"/>
      <c r="R230" s="136"/>
      <c r="S230" s="136"/>
      <c r="T230" s="136"/>
      <c r="U230" s="136"/>
    </row>
    <row r="231" ht="15.75" customHeight="1">
      <c r="A231" s="160"/>
      <c r="B231" s="136"/>
      <c r="C231" s="136"/>
      <c r="D231" s="136"/>
      <c r="E231" s="136"/>
      <c r="F231" s="136"/>
      <c r="G231" s="136"/>
      <c r="H231" s="136"/>
      <c r="I231" s="136"/>
      <c r="J231" s="136"/>
      <c r="K231" s="136"/>
      <c r="L231" s="136"/>
      <c r="M231" s="136"/>
      <c r="N231" s="136"/>
      <c r="O231" s="136"/>
      <c r="P231" s="136"/>
      <c r="Q231" s="136"/>
      <c r="R231" s="136"/>
      <c r="S231" s="136"/>
      <c r="T231" s="136"/>
      <c r="U231" s="136"/>
    </row>
    <row r="232" ht="15.75" customHeight="1">
      <c r="A232" s="160"/>
      <c r="B232" s="136"/>
      <c r="C232" s="136"/>
      <c r="D232" s="136"/>
      <c r="E232" s="136"/>
      <c r="F232" s="136"/>
      <c r="G232" s="136"/>
      <c r="H232" s="136"/>
      <c r="I232" s="136"/>
      <c r="J232" s="136"/>
      <c r="K232" s="136"/>
      <c r="L232" s="136"/>
      <c r="M232" s="136"/>
      <c r="N232" s="136"/>
      <c r="O232" s="136"/>
      <c r="P232" s="136"/>
      <c r="Q232" s="136"/>
      <c r="R232" s="136"/>
      <c r="S232" s="136"/>
      <c r="T232" s="136"/>
      <c r="U232" s="136"/>
    </row>
    <row r="233" ht="15.75" customHeight="1">
      <c r="A233" s="160"/>
      <c r="B233" s="136"/>
      <c r="C233" s="136"/>
      <c r="D233" s="136"/>
      <c r="E233" s="136"/>
      <c r="F233" s="136"/>
      <c r="G233" s="136"/>
      <c r="H233" s="136"/>
      <c r="I233" s="136"/>
      <c r="J233" s="136"/>
      <c r="K233" s="136"/>
      <c r="L233" s="136"/>
      <c r="M233" s="136"/>
      <c r="N233" s="136"/>
      <c r="O233" s="136"/>
      <c r="P233" s="136"/>
      <c r="Q233" s="136"/>
      <c r="R233" s="136"/>
      <c r="S233" s="136"/>
      <c r="T233" s="136"/>
      <c r="U233" s="136"/>
    </row>
    <row r="234" ht="15.75" customHeight="1">
      <c r="A234" s="160"/>
      <c r="B234" s="136"/>
      <c r="C234" s="136"/>
      <c r="D234" s="136"/>
      <c r="E234" s="136"/>
      <c r="F234" s="136"/>
      <c r="G234" s="136"/>
      <c r="H234" s="136"/>
      <c r="I234" s="136"/>
      <c r="J234" s="136"/>
      <c r="K234" s="136"/>
      <c r="L234" s="136"/>
      <c r="M234" s="136"/>
      <c r="N234" s="136"/>
      <c r="O234" s="136"/>
      <c r="P234" s="136"/>
      <c r="Q234" s="136"/>
      <c r="R234" s="136"/>
      <c r="S234" s="136"/>
      <c r="T234" s="136"/>
      <c r="U234" s="136"/>
    </row>
    <row r="235" ht="15.75" customHeight="1">
      <c r="A235" s="160"/>
      <c r="B235" s="136"/>
      <c r="C235" s="136"/>
      <c r="D235" s="136"/>
      <c r="E235" s="136"/>
      <c r="F235" s="136"/>
      <c r="G235" s="136"/>
      <c r="H235" s="136"/>
      <c r="I235" s="136"/>
      <c r="J235" s="136"/>
      <c r="K235" s="136"/>
      <c r="L235" s="136"/>
      <c r="M235" s="136"/>
      <c r="N235" s="136"/>
      <c r="O235" s="136"/>
      <c r="P235" s="136"/>
      <c r="Q235" s="136"/>
      <c r="R235" s="136"/>
      <c r="S235" s="136"/>
      <c r="T235" s="136"/>
      <c r="U235" s="136"/>
    </row>
    <row r="236" ht="15.75" customHeight="1">
      <c r="A236" s="160"/>
      <c r="B236" s="136"/>
      <c r="C236" s="136"/>
      <c r="D236" s="136"/>
      <c r="E236" s="136"/>
      <c r="F236" s="136"/>
      <c r="G236" s="136"/>
      <c r="H236" s="136"/>
      <c r="I236" s="136"/>
      <c r="J236" s="136"/>
      <c r="K236" s="136"/>
      <c r="L236" s="136"/>
      <c r="M236" s="136"/>
      <c r="N236" s="136"/>
      <c r="O236" s="136"/>
      <c r="P236" s="136"/>
      <c r="Q236" s="136"/>
      <c r="R236" s="136"/>
      <c r="S236" s="136"/>
      <c r="T236" s="136"/>
      <c r="U236" s="136"/>
    </row>
    <row r="237" ht="15.75" customHeight="1">
      <c r="A237" s="160"/>
      <c r="B237" s="136"/>
      <c r="C237" s="136"/>
      <c r="D237" s="136"/>
      <c r="E237" s="136"/>
      <c r="F237" s="136"/>
      <c r="G237" s="136"/>
      <c r="H237" s="136"/>
      <c r="I237" s="136"/>
      <c r="J237" s="136"/>
      <c r="K237" s="136"/>
      <c r="L237" s="136"/>
      <c r="M237" s="136"/>
      <c r="N237" s="136"/>
      <c r="O237" s="136"/>
      <c r="P237" s="136"/>
      <c r="Q237" s="136"/>
      <c r="R237" s="136"/>
      <c r="S237" s="136"/>
      <c r="T237" s="136"/>
      <c r="U237" s="136"/>
    </row>
    <row r="238" ht="15.75" customHeight="1">
      <c r="A238" s="160"/>
      <c r="B238" s="136"/>
      <c r="C238" s="136"/>
      <c r="D238" s="136"/>
      <c r="E238" s="136"/>
      <c r="F238" s="136"/>
      <c r="G238" s="136"/>
      <c r="H238" s="136"/>
      <c r="I238" s="136"/>
      <c r="J238" s="136"/>
      <c r="K238" s="136"/>
      <c r="L238" s="136"/>
      <c r="M238" s="136"/>
      <c r="N238" s="136"/>
      <c r="O238" s="136"/>
      <c r="P238" s="136"/>
      <c r="Q238" s="136"/>
      <c r="R238" s="136"/>
      <c r="S238" s="136"/>
      <c r="T238" s="136"/>
      <c r="U238" s="136"/>
    </row>
    <row r="239" ht="15.75" customHeight="1">
      <c r="A239" s="160"/>
      <c r="B239" s="136"/>
      <c r="C239" s="136"/>
      <c r="D239" s="136"/>
      <c r="E239" s="136"/>
      <c r="F239" s="136"/>
      <c r="G239" s="136"/>
      <c r="H239" s="136"/>
      <c r="I239" s="136"/>
      <c r="J239" s="136"/>
      <c r="K239" s="136"/>
      <c r="L239" s="136"/>
      <c r="M239" s="136"/>
      <c r="N239" s="136"/>
      <c r="O239" s="136"/>
      <c r="P239" s="136"/>
      <c r="Q239" s="136"/>
      <c r="R239" s="136"/>
      <c r="S239" s="136"/>
      <c r="T239" s="136"/>
      <c r="U239" s="136"/>
    </row>
    <row r="240" ht="15.75" customHeight="1">
      <c r="A240" s="160"/>
      <c r="B240" s="136"/>
      <c r="C240" s="136"/>
      <c r="D240" s="136"/>
      <c r="E240" s="136"/>
      <c r="F240" s="136"/>
      <c r="G240" s="136"/>
      <c r="H240" s="136"/>
      <c r="I240" s="136"/>
      <c r="J240" s="136"/>
      <c r="K240" s="136"/>
      <c r="L240" s="136"/>
      <c r="M240" s="136"/>
      <c r="N240" s="136"/>
      <c r="O240" s="136"/>
      <c r="P240" s="136"/>
      <c r="Q240" s="136"/>
      <c r="R240" s="136"/>
      <c r="S240" s="136"/>
      <c r="T240" s="136"/>
      <c r="U240" s="136"/>
    </row>
    <row r="241" ht="15.75" customHeight="1">
      <c r="A241" s="160"/>
      <c r="B241" s="136"/>
      <c r="C241" s="136"/>
      <c r="D241" s="136"/>
      <c r="E241" s="136"/>
      <c r="F241" s="136"/>
      <c r="G241" s="136"/>
      <c r="H241" s="136"/>
      <c r="I241" s="136"/>
      <c r="J241" s="136"/>
      <c r="K241" s="136"/>
      <c r="L241" s="136"/>
      <c r="M241" s="136"/>
      <c r="N241" s="136"/>
      <c r="O241" s="136"/>
      <c r="P241" s="136"/>
      <c r="Q241" s="136"/>
      <c r="R241" s="136"/>
      <c r="S241" s="136"/>
      <c r="T241" s="136"/>
      <c r="U241" s="136"/>
    </row>
    <row r="242" ht="15.75" customHeight="1">
      <c r="A242" s="160"/>
      <c r="B242" s="136"/>
      <c r="C242" s="136"/>
      <c r="D242" s="136"/>
      <c r="E242" s="136"/>
      <c r="F242" s="136"/>
      <c r="G242" s="136"/>
      <c r="H242" s="136"/>
      <c r="I242" s="136"/>
      <c r="J242" s="136"/>
      <c r="K242" s="136"/>
      <c r="L242" s="136"/>
      <c r="M242" s="136"/>
      <c r="N242" s="136"/>
      <c r="O242" s="136"/>
      <c r="P242" s="136"/>
      <c r="Q242" s="136"/>
      <c r="R242" s="136"/>
      <c r="S242" s="136"/>
      <c r="T242" s="136"/>
      <c r="U242" s="136"/>
    </row>
    <row r="243" ht="15.75" customHeight="1">
      <c r="A243" s="160"/>
      <c r="B243" s="136"/>
      <c r="C243" s="136"/>
      <c r="D243" s="136"/>
      <c r="E243" s="136"/>
      <c r="F243" s="136"/>
      <c r="G243" s="136"/>
      <c r="H243" s="136"/>
      <c r="I243" s="136"/>
      <c r="J243" s="136"/>
      <c r="K243" s="136"/>
      <c r="L243" s="136"/>
      <c r="M243" s="136"/>
      <c r="N243" s="136"/>
      <c r="O243" s="136"/>
      <c r="P243" s="136"/>
      <c r="Q243" s="136"/>
      <c r="R243" s="136"/>
      <c r="S243" s="136"/>
      <c r="T243" s="136"/>
      <c r="U243" s="136"/>
    </row>
    <row r="244" ht="15.75" customHeight="1">
      <c r="A244" s="160"/>
      <c r="B244" s="136"/>
      <c r="C244" s="136"/>
      <c r="D244" s="136"/>
      <c r="E244" s="136"/>
      <c r="F244" s="136"/>
      <c r="G244" s="136"/>
      <c r="H244" s="136"/>
      <c r="I244" s="136"/>
      <c r="J244" s="136"/>
      <c r="K244" s="136"/>
      <c r="L244" s="136"/>
      <c r="M244" s="136"/>
      <c r="N244" s="136"/>
      <c r="O244" s="136"/>
      <c r="P244" s="136"/>
      <c r="Q244" s="136"/>
      <c r="R244" s="136"/>
      <c r="S244" s="136"/>
      <c r="T244" s="136"/>
      <c r="U244" s="136"/>
    </row>
    <row r="245" ht="15.75" customHeight="1">
      <c r="A245" s="160"/>
      <c r="B245" s="136"/>
      <c r="C245" s="136"/>
      <c r="D245" s="136"/>
      <c r="E245" s="136"/>
      <c r="F245" s="136"/>
      <c r="G245" s="136"/>
      <c r="H245" s="136"/>
      <c r="I245" s="136"/>
      <c r="J245" s="136"/>
      <c r="K245" s="136"/>
      <c r="L245" s="136"/>
      <c r="M245" s="136"/>
      <c r="N245" s="136"/>
      <c r="O245" s="136"/>
      <c r="P245" s="136"/>
      <c r="Q245" s="136"/>
      <c r="R245" s="136"/>
      <c r="S245" s="136"/>
      <c r="T245" s="136"/>
      <c r="U245" s="136"/>
    </row>
    <row r="246" ht="15.75" customHeight="1">
      <c r="A246" s="160"/>
      <c r="B246" s="136"/>
      <c r="C246" s="136"/>
      <c r="D246" s="136"/>
      <c r="E246" s="136"/>
      <c r="F246" s="136"/>
      <c r="G246" s="136"/>
      <c r="H246" s="136"/>
      <c r="I246" s="136"/>
      <c r="J246" s="136"/>
      <c r="K246" s="136"/>
      <c r="L246" s="136"/>
      <c r="M246" s="136"/>
      <c r="N246" s="136"/>
      <c r="O246" s="136"/>
      <c r="P246" s="136"/>
      <c r="Q246" s="136"/>
      <c r="R246" s="136"/>
      <c r="S246" s="136"/>
      <c r="T246" s="136"/>
      <c r="U246" s="136"/>
    </row>
    <row r="247" ht="15.75" customHeight="1">
      <c r="A247" s="160"/>
      <c r="B247" s="136"/>
      <c r="C247" s="136"/>
      <c r="D247" s="136"/>
      <c r="E247" s="136"/>
      <c r="F247" s="136"/>
      <c r="G247" s="136"/>
      <c r="H247" s="136"/>
      <c r="I247" s="136"/>
      <c r="J247" s="136"/>
      <c r="K247" s="136"/>
      <c r="L247" s="136"/>
      <c r="M247" s="136"/>
      <c r="N247" s="136"/>
      <c r="O247" s="136"/>
      <c r="P247" s="136"/>
      <c r="Q247" s="136"/>
      <c r="R247" s="136"/>
      <c r="S247" s="136"/>
      <c r="T247" s="136"/>
      <c r="U247" s="136"/>
    </row>
    <row r="248" ht="15.75" customHeight="1">
      <c r="A248" s="160"/>
      <c r="B248" s="136"/>
      <c r="C248" s="136"/>
      <c r="D248" s="136"/>
      <c r="E248" s="136"/>
      <c r="F248" s="136"/>
      <c r="G248" s="136"/>
      <c r="H248" s="136"/>
      <c r="I248" s="136"/>
      <c r="J248" s="136"/>
      <c r="K248" s="136"/>
      <c r="L248" s="136"/>
      <c r="M248" s="136"/>
      <c r="N248" s="136"/>
      <c r="O248" s="136"/>
      <c r="P248" s="136"/>
      <c r="Q248" s="136"/>
      <c r="R248" s="136"/>
      <c r="S248" s="136"/>
      <c r="T248" s="136"/>
      <c r="U248" s="136"/>
    </row>
    <row r="249" ht="15.75" customHeight="1">
      <c r="A249" s="160"/>
      <c r="B249" s="136"/>
      <c r="C249" s="136"/>
      <c r="D249" s="136"/>
      <c r="E249" s="136"/>
      <c r="F249" s="136"/>
      <c r="G249" s="136"/>
      <c r="H249" s="136"/>
      <c r="I249" s="136"/>
      <c r="J249" s="136"/>
      <c r="K249" s="136"/>
      <c r="L249" s="136"/>
      <c r="M249" s="136"/>
      <c r="N249" s="136"/>
      <c r="O249" s="136"/>
      <c r="P249" s="136"/>
      <c r="Q249" s="136"/>
      <c r="R249" s="136"/>
      <c r="S249" s="136"/>
      <c r="T249" s="136"/>
      <c r="U249" s="136"/>
    </row>
    <row r="250" ht="15.75" customHeight="1">
      <c r="A250" s="160"/>
      <c r="B250" s="136"/>
      <c r="C250" s="136"/>
      <c r="D250" s="136"/>
      <c r="E250" s="136"/>
      <c r="F250" s="136"/>
      <c r="G250" s="136"/>
      <c r="H250" s="136"/>
      <c r="I250" s="136"/>
      <c r="J250" s="136"/>
      <c r="K250" s="136"/>
      <c r="L250" s="136"/>
      <c r="M250" s="136"/>
      <c r="N250" s="136"/>
      <c r="O250" s="136"/>
      <c r="P250" s="136"/>
      <c r="Q250" s="136"/>
      <c r="R250" s="136"/>
      <c r="S250" s="136"/>
      <c r="T250" s="136"/>
      <c r="U250" s="136"/>
    </row>
    <row r="251" ht="15.75" customHeight="1">
      <c r="A251" s="160"/>
      <c r="B251" s="136"/>
      <c r="C251" s="136"/>
      <c r="D251" s="136"/>
      <c r="E251" s="136"/>
      <c r="F251" s="136"/>
      <c r="G251" s="136"/>
      <c r="H251" s="136"/>
      <c r="I251" s="136"/>
      <c r="J251" s="136"/>
      <c r="K251" s="136"/>
      <c r="L251" s="136"/>
      <c r="M251" s="136"/>
      <c r="N251" s="136"/>
      <c r="O251" s="136"/>
      <c r="P251" s="136"/>
      <c r="Q251" s="136"/>
      <c r="R251" s="136"/>
      <c r="S251" s="136"/>
      <c r="T251" s="136"/>
      <c r="U251" s="136"/>
    </row>
    <row r="252" ht="15.75" customHeight="1">
      <c r="A252" s="160"/>
      <c r="B252" s="136"/>
      <c r="C252" s="136"/>
      <c r="D252" s="136"/>
      <c r="E252" s="136"/>
      <c r="F252" s="136"/>
      <c r="G252" s="136"/>
      <c r="H252" s="136"/>
      <c r="I252" s="136"/>
      <c r="J252" s="136"/>
      <c r="K252" s="136"/>
      <c r="L252" s="136"/>
      <c r="M252" s="136"/>
      <c r="N252" s="136"/>
      <c r="O252" s="136"/>
      <c r="P252" s="136"/>
      <c r="Q252" s="136"/>
      <c r="R252" s="136"/>
      <c r="S252" s="136"/>
      <c r="T252" s="136"/>
      <c r="U252" s="136"/>
    </row>
    <row r="253" ht="15.75" customHeight="1">
      <c r="A253" s="160"/>
      <c r="B253" s="136"/>
      <c r="C253" s="136"/>
      <c r="D253" s="136"/>
      <c r="E253" s="136"/>
      <c r="F253" s="136"/>
      <c r="G253" s="136"/>
      <c r="H253" s="136"/>
      <c r="I253" s="136"/>
      <c r="J253" s="136"/>
      <c r="K253" s="136"/>
      <c r="L253" s="136"/>
      <c r="M253" s="136"/>
      <c r="N253" s="136"/>
      <c r="O253" s="136"/>
      <c r="P253" s="136"/>
      <c r="Q253" s="136"/>
      <c r="R253" s="136"/>
      <c r="S253" s="136"/>
      <c r="T253" s="136"/>
      <c r="U253" s="136"/>
    </row>
    <row r="254" ht="15.75" customHeight="1">
      <c r="A254" s="160"/>
      <c r="B254" s="136"/>
      <c r="C254" s="136"/>
      <c r="D254" s="136"/>
      <c r="E254" s="136"/>
      <c r="F254" s="136"/>
      <c r="G254" s="136"/>
      <c r="H254" s="136"/>
      <c r="I254" s="136"/>
      <c r="J254" s="136"/>
      <c r="K254" s="136"/>
      <c r="L254" s="136"/>
      <c r="M254" s="136"/>
      <c r="N254" s="136"/>
      <c r="O254" s="136"/>
      <c r="P254" s="136"/>
      <c r="Q254" s="136"/>
      <c r="R254" s="136"/>
      <c r="S254" s="136"/>
      <c r="T254" s="136"/>
      <c r="U254" s="136"/>
    </row>
    <row r="255" ht="15.75" customHeight="1">
      <c r="A255" s="160"/>
      <c r="B255" s="136"/>
      <c r="C255" s="136"/>
      <c r="D255" s="136"/>
      <c r="E255" s="136"/>
      <c r="F255" s="136"/>
      <c r="G255" s="136"/>
      <c r="H255" s="136"/>
      <c r="I255" s="136"/>
      <c r="J255" s="136"/>
      <c r="K255" s="136"/>
      <c r="L255" s="136"/>
      <c r="M255" s="136"/>
      <c r="N255" s="136"/>
      <c r="O255" s="136"/>
      <c r="P255" s="136"/>
      <c r="Q255" s="136"/>
      <c r="R255" s="136"/>
      <c r="S255" s="136"/>
      <c r="T255" s="136"/>
      <c r="U255" s="136"/>
    </row>
    <row r="256" ht="15.75" customHeight="1">
      <c r="A256" s="160"/>
      <c r="B256" s="136"/>
      <c r="C256" s="136"/>
      <c r="D256" s="136"/>
      <c r="E256" s="136"/>
      <c r="F256" s="136"/>
      <c r="G256" s="136"/>
      <c r="H256" s="136"/>
      <c r="I256" s="136"/>
      <c r="J256" s="136"/>
      <c r="K256" s="136"/>
      <c r="L256" s="136"/>
      <c r="M256" s="136"/>
      <c r="N256" s="136"/>
      <c r="O256" s="136"/>
      <c r="P256" s="136"/>
      <c r="Q256" s="136"/>
      <c r="R256" s="136"/>
      <c r="S256" s="136"/>
      <c r="T256" s="136"/>
      <c r="U256" s="136"/>
    </row>
    <row r="257" ht="15.75" customHeight="1">
      <c r="A257" s="160"/>
      <c r="B257" s="136"/>
      <c r="C257" s="136"/>
      <c r="D257" s="136"/>
      <c r="E257" s="136"/>
      <c r="F257" s="136"/>
      <c r="G257" s="136"/>
      <c r="H257" s="136"/>
      <c r="I257" s="136"/>
      <c r="J257" s="136"/>
      <c r="K257" s="136"/>
      <c r="L257" s="136"/>
      <c r="M257" s="136"/>
      <c r="N257" s="136"/>
      <c r="O257" s="136"/>
      <c r="P257" s="136"/>
      <c r="Q257" s="136"/>
      <c r="R257" s="136"/>
      <c r="S257" s="136"/>
      <c r="T257" s="136"/>
      <c r="U257" s="136"/>
    </row>
    <row r="258" ht="15.75" customHeight="1">
      <c r="A258" s="160"/>
      <c r="B258" s="136"/>
      <c r="C258" s="136"/>
      <c r="D258" s="136"/>
      <c r="E258" s="136"/>
      <c r="F258" s="136"/>
      <c r="G258" s="136"/>
      <c r="H258" s="136"/>
      <c r="I258" s="136"/>
      <c r="J258" s="136"/>
      <c r="K258" s="136"/>
      <c r="L258" s="136"/>
      <c r="M258" s="136"/>
      <c r="N258" s="136"/>
      <c r="O258" s="136"/>
      <c r="P258" s="136"/>
      <c r="Q258" s="136"/>
      <c r="R258" s="136"/>
      <c r="S258" s="136"/>
      <c r="T258" s="136"/>
      <c r="U258" s="136"/>
    </row>
    <row r="259" ht="15.75" customHeight="1">
      <c r="A259" s="160"/>
      <c r="B259" s="136"/>
      <c r="C259" s="136"/>
      <c r="D259" s="136"/>
      <c r="E259" s="136"/>
      <c r="F259" s="136"/>
      <c r="G259" s="136"/>
      <c r="H259" s="136"/>
      <c r="I259" s="136"/>
      <c r="J259" s="136"/>
      <c r="K259" s="136"/>
      <c r="L259" s="136"/>
      <c r="M259" s="136"/>
      <c r="N259" s="136"/>
      <c r="O259" s="136"/>
      <c r="P259" s="136"/>
      <c r="Q259" s="136"/>
      <c r="R259" s="136"/>
      <c r="S259" s="136"/>
      <c r="T259" s="136"/>
      <c r="U259" s="136"/>
    </row>
    <row r="260" ht="15.75" customHeight="1">
      <c r="A260" s="160"/>
      <c r="B260" s="136"/>
      <c r="C260" s="136"/>
      <c r="D260" s="136"/>
      <c r="E260" s="136"/>
      <c r="F260" s="136"/>
      <c r="G260" s="136"/>
      <c r="H260" s="136"/>
      <c r="I260" s="136"/>
      <c r="J260" s="136"/>
      <c r="K260" s="136"/>
      <c r="L260" s="136"/>
      <c r="M260" s="136"/>
      <c r="N260" s="136"/>
      <c r="O260" s="136"/>
      <c r="P260" s="136"/>
      <c r="Q260" s="136"/>
      <c r="R260" s="136"/>
      <c r="S260" s="136"/>
      <c r="T260" s="136"/>
      <c r="U260" s="136"/>
    </row>
    <row r="261" ht="15.75" customHeight="1">
      <c r="A261" s="160"/>
      <c r="B261" s="136"/>
      <c r="C261" s="136"/>
      <c r="D261" s="136"/>
      <c r="E261" s="136"/>
      <c r="F261" s="136"/>
      <c r="G261" s="136"/>
      <c r="H261" s="136"/>
      <c r="I261" s="136"/>
      <c r="J261" s="136"/>
      <c r="K261" s="136"/>
      <c r="L261" s="136"/>
      <c r="M261" s="136"/>
      <c r="N261" s="136"/>
      <c r="O261" s="136"/>
      <c r="P261" s="136"/>
      <c r="Q261" s="136"/>
      <c r="R261" s="136"/>
      <c r="S261" s="136"/>
      <c r="T261" s="136"/>
      <c r="U261" s="136"/>
    </row>
    <row r="262" ht="15.75" customHeight="1">
      <c r="A262" s="160"/>
      <c r="B262" s="136"/>
      <c r="C262" s="136"/>
      <c r="D262" s="136"/>
      <c r="E262" s="136"/>
      <c r="F262" s="136"/>
      <c r="G262" s="136"/>
      <c r="H262" s="136"/>
      <c r="I262" s="136"/>
      <c r="J262" s="136"/>
      <c r="K262" s="136"/>
      <c r="L262" s="136"/>
      <c r="M262" s="136"/>
      <c r="N262" s="136"/>
      <c r="O262" s="136"/>
      <c r="P262" s="136"/>
      <c r="Q262" s="136"/>
      <c r="R262" s="136"/>
      <c r="S262" s="136"/>
      <c r="T262" s="136"/>
      <c r="U262" s="136"/>
    </row>
    <row r="263" ht="15.75" customHeight="1">
      <c r="A263" s="160"/>
      <c r="B263" s="136"/>
      <c r="C263" s="136"/>
      <c r="D263" s="136"/>
      <c r="E263" s="136"/>
      <c r="F263" s="136"/>
      <c r="G263" s="136"/>
      <c r="H263" s="136"/>
      <c r="I263" s="136"/>
      <c r="J263" s="136"/>
      <c r="K263" s="136"/>
      <c r="L263" s="136"/>
      <c r="M263" s="136"/>
      <c r="N263" s="136"/>
      <c r="O263" s="136"/>
      <c r="P263" s="136"/>
      <c r="Q263" s="136"/>
      <c r="R263" s="136"/>
      <c r="S263" s="136"/>
      <c r="T263" s="136"/>
      <c r="U263" s="136"/>
    </row>
    <row r="264" ht="15.75" customHeight="1">
      <c r="A264" s="160"/>
      <c r="B264" s="136"/>
      <c r="C264" s="136"/>
      <c r="D264" s="136"/>
      <c r="E264" s="136"/>
      <c r="F264" s="136"/>
      <c r="G264" s="136"/>
      <c r="H264" s="136"/>
      <c r="I264" s="136"/>
      <c r="J264" s="136"/>
      <c r="K264" s="136"/>
      <c r="L264" s="136"/>
      <c r="M264" s="136"/>
      <c r="N264" s="136"/>
      <c r="O264" s="136"/>
      <c r="P264" s="136"/>
      <c r="Q264" s="136"/>
      <c r="R264" s="136"/>
      <c r="S264" s="136"/>
      <c r="T264" s="136"/>
      <c r="U264" s="136"/>
    </row>
    <row r="265" ht="15.75" customHeight="1">
      <c r="A265" s="160"/>
      <c r="B265" s="136"/>
      <c r="C265" s="136"/>
      <c r="D265" s="136"/>
      <c r="E265" s="136"/>
      <c r="F265" s="136"/>
      <c r="G265" s="136"/>
      <c r="H265" s="136"/>
      <c r="I265" s="136"/>
      <c r="J265" s="136"/>
      <c r="K265" s="136"/>
      <c r="L265" s="136"/>
      <c r="M265" s="136"/>
      <c r="N265" s="136"/>
      <c r="O265" s="136"/>
      <c r="P265" s="136"/>
      <c r="Q265" s="136"/>
      <c r="R265" s="136"/>
      <c r="S265" s="136"/>
      <c r="T265" s="136"/>
      <c r="U265" s="136"/>
    </row>
    <row r="266" ht="15.75" customHeight="1">
      <c r="A266" s="160"/>
      <c r="B266" s="136"/>
      <c r="C266" s="136"/>
      <c r="D266" s="136"/>
      <c r="E266" s="136"/>
      <c r="F266" s="136"/>
      <c r="G266" s="136"/>
      <c r="H266" s="136"/>
      <c r="I266" s="136"/>
      <c r="J266" s="136"/>
      <c r="K266" s="136"/>
      <c r="L266" s="136"/>
      <c r="M266" s="136"/>
      <c r="N266" s="136"/>
      <c r="O266" s="136"/>
      <c r="P266" s="136"/>
      <c r="Q266" s="136"/>
      <c r="R266" s="136"/>
      <c r="S266" s="136"/>
      <c r="T266" s="136"/>
      <c r="U266" s="136"/>
    </row>
    <row r="267" ht="15.75" customHeight="1">
      <c r="A267" s="160"/>
      <c r="B267" s="136"/>
      <c r="C267" s="136"/>
      <c r="D267" s="136"/>
      <c r="E267" s="136"/>
      <c r="F267" s="136"/>
      <c r="G267" s="136"/>
      <c r="H267" s="136"/>
      <c r="I267" s="136"/>
      <c r="J267" s="136"/>
      <c r="K267" s="136"/>
      <c r="L267" s="136"/>
      <c r="M267" s="136"/>
      <c r="N267" s="136"/>
      <c r="O267" s="136"/>
      <c r="P267" s="136"/>
      <c r="Q267" s="136"/>
      <c r="R267" s="136"/>
      <c r="S267" s="136"/>
      <c r="T267" s="136"/>
      <c r="U267" s="136"/>
    </row>
    <row r="268" ht="15.75" customHeight="1">
      <c r="A268" s="160"/>
      <c r="B268" s="136"/>
      <c r="C268" s="136"/>
      <c r="D268" s="136"/>
      <c r="E268" s="136"/>
      <c r="F268" s="136"/>
      <c r="G268" s="136"/>
      <c r="H268" s="136"/>
      <c r="I268" s="136"/>
      <c r="J268" s="136"/>
      <c r="K268" s="136"/>
      <c r="L268" s="136"/>
      <c r="M268" s="136"/>
      <c r="N268" s="136"/>
      <c r="O268" s="136"/>
      <c r="P268" s="136"/>
      <c r="Q268" s="136"/>
      <c r="R268" s="136"/>
      <c r="S268" s="136"/>
      <c r="T268" s="136"/>
      <c r="U268" s="136"/>
    </row>
    <row r="269" ht="15.75" customHeight="1">
      <c r="A269" s="160"/>
      <c r="B269" s="136"/>
      <c r="C269" s="136"/>
      <c r="D269" s="136"/>
      <c r="E269" s="136"/>
      <c r="F269" s="136"/>
      <c r="G269" s="136"/>
      <c r="H269" s="136"/>
      <c r="I269" s="136"/>
      <c r="J269" s="136"/>
      <c r="K269" s="136"/>
      <c r="L269" s="136"/>
      <c r="M269" s="136"/>
      <c r="N269" s="136"/>
      <c r="O269" s="136"/>
      <c r="P269" s="136"/>
      <c r="Q269" s="136"/>
      <c r="R269" s="136"/>
      <c r="S269" s="136"/>
      <c r="T269" s="136"/>
      <c r="U269" s="136"/>
    </row>
    <row r="270" ht="15.75" customHeight="1">
      <c r="A270" s="160"/>
      <c r="B270" s="136"/>
      <c r="C270" s="136"/>
      <c r="D270" s="136"/>
      <c r="E270" s="136"/>
      <c r="F270" s="136"/>
      <c r="G270" s="136"/>
      <c r="H270" s="136"/>
      <c r="I270" s="136"/>
      <c r="J270" s="136"/>
      <c r="K270" s="136"/>
      <c r="L270" s="136"/>
      <c r="M270" s="136"/>
      <c r="N270" s="136"/>
      <c r="O270" s="136"/>
      <c r="P270" s="136"/>
      <c r="Q270" s="136"/>
      <c r="R270" s="136"/>
      <c r="S270" s="136"/>
      <c r="T270" s="136"/>
      <c r="U270" s="136"/>
    </row>
    <row r="271" ht="15.75" customHeight="1">
      <c r="A271" s="160"/>
      <c r="B271" s="136"/>
      <c r="C271" s="136"/>
      <c r="D271" s="136"/>
      <c r="E271" s="136"/>
      <c r="F271" s="136"/>
      <c r="G271" s="136"/>
      <c r="H271" s="136"/>
      <c r="I271" s="136"/>
      <c r="J271" s="136"/>
      <c r="K271" s="136"/>
      <c r="L271" s="136"/>
      <c r="M271" s="136"/>
      <c r="N271" s="136"/>
      <c r="O271" s="136"/>
      <c r="P271" s="136"/>
      <c r="Q271" s="136"/>
      <c r="R271" s="136"/>
      <c r="S271" s="136"/>
      <c r="T271" s="136"/>
      <c r="U271" s="136"/>
    </row>
    <row r="272" ht="15.75" customHeight="1">
      <c r="A272" s="160"/>
      <c r="B272" s="136"/>
      <c r="C272" s="136"/>
      <c r="D272" s="136"/>
      <c r="E272" s="136"/>
      <c r="F272" s="136"/>
      <c r="G272" s="136"/>
      <c r="H272" s="136"/>
      <c r="I272" s="136"/>
      <c r="J272" s="136"/>
      <c r="K272" s="136"/>
      <c r="L272" s="136"/>
      <c r="M272" s="136"/>
      <c r="N272" s="136"/>
      <c r="O272" s="136"/>
      <c r="P272" s="136"/>
      <c r="Q272" s="136"/>
      <c r="R272" s="136"/>
      <c r="S272" s="136"/>
      <c r="T272" s="136"/>
      <c r="U272" s="136"/>
    </row>
    <row r="273" ht="15.75" customHeight="1">
      <c r="A273" s="160"/>
      <c r="B273" s="136"/>
      <c r="C273" s="136"/>
      <c r="D273" s="136"/>
      <c r="E273" s="136"/>
      <c r="F273" s="136"/>
      <c r="G273" s="136"/>
      <c r="H273" s="136"/>
      <c r="I273" s="136"/>
      <c r="J273" s="136"/>
      <c r="K273" s="136"/>
      <c r="L273" s="136"/>
      <c r="M273" s="136"/>
      <c r="N273" s="136"/>
      <c r="O273" s="136"/>
      <c r="P273" s="136"/>
      <c r="Q273" s="136"/>
      <c r="R273" s="136"/>
      <c r="S273" s="136"/>
      <c r="T273" s="136"/>
      <c r="U273" s="136"/>
    </row>
    <row r="274" ht="15.75" customHeight="1">
      <c r="A274" s="160"/>
      <c r="B274" s="136"/>
      <c r="C274" s="136"/>
      <c r="D274" s="136"/>
      <c r="E274" s="136"/>
      <c r="F274" s="136"/>
      <c r="G274" s="136"/>
      <c r="H274" s="136"/>
      <c r="I274" s="136"/>
      <c r="J274" s="136"/>
      <c r="K274" s="136"/>
      <c r="L274" s="136"/>
      <c r="M274" s="136"/>
      <c r="N274" s="136"/>
      <c r="O274" s="136"/>
      <c r="P274" s="136"/>
      <c r="Q274" s="136"/>
      <c r="R274" s="136"/>
      <c r="S274" s="136"/>
      <c r="T274" s="136"/>
      <c r="U274" s="136"/>
    </row>
    <row r="275" ht="15.75" customHeight="1">
      <c r="A275" s="160"/>
      <c r="B275" s="136"/>
      <c r="C275" s="136"/>
      <c r="D275" s="136"/>
      <c r="E275" s="136"/>
      <c r="F275" s="136"/>
      <c r="G275" s="136"/>
      <c r="H275" s="136"/>
      <c r="I275" s="136"/>
      <c r="J275" s="136"/>
      <c r="K275" s="136"/>
      <c r="L275" s="136"/>
      <c r="M275" s="136"/>
      <c r="N275" s="136"/>
      <c r="O275" s="136"/>
      <c r="P275" s="136"/>
      <c r="Q275" s="136"/>
      <c r="R275" s="136"/>
      <c r="S275" s="136"/>
      <c r="T275" s="136"/>
      <c r="U275" s="136"/>
    </row>
    <row r="276" ht="15.75" customHeight="1">
      <c r="A276" s="160"/>
      <c r="B276" s="136"/>
      <c r="C276" s="136"/>
      <c r="D276" s="136"/>
      <c r="E276" s="136"/>
      <c r="F276" s="136"/>
      <c r="G276" s="136"/>
      <c r="H276" s="136"/>
      <c r="I276" s="136"/>
      <c r="J276" s="136"/>
      <c r="K276" s="136"/>
      <c r="L276" s="136"/>
      <c r="M276" s="136"/>
      <c r="N276" s="136"/>
      <c r="O276" s="136"/>
      <c r="P276" s="136"/>
      <c r="Q276" s="136"/>
      <c r="R276" s="136"/>
      <c r="S276" s="136"/>
      <c r="T276" s="136"/>
      <c r="U276" s="136"/>
    </row>
    <row r="277" ht="15.75" customHeight="1">
      <c r="A277" s="160"/>
      <c r="B277" s="136"/>
      <c r="C277" s="136"/>
      <c r="D277" s="136"/>
      <c r="E277" s="136"/>
      <c r="F277" s="136"/>
      <c r="G277" s="136"/>
      <c r="H277" s="136"/>
      <c r="I277" s="136"/>
      <c r="J277" s="136"/>
      <c r="K277" s="136"/>
      <c r="L277" s="136"/>
      <c r="M277" s="136"/>
      <c r="N277" s="136"/>
      <c r="O277" s="136"/>
      <c r="P277" s="136"/>
      <c r="Q277" s="136"/>
      <c r="R277" s="136"/>
      <c r="S277" s="136"/>
      <c r="T277" s="136"/>
      <c r="U277" s="136"/>
    </row>
    <row r="278" ht="15.75" customHeight="1">
      <c r="A278" s="160"/>
      <c r="B278" s="136"/>
      <c r="C278" s="136"/>
      <c r="D278" s="136"/>
      <c r="E278" s="136"/>
      <c r="F278" s="136"/>
      <c r="G278" s="136"/>
      <c r="H278" s="136"/>
      <c r="I278" s="136"/>
      <c r="J278" s="136"/>
      <c r="K278" s="136"/>
      <c r="L278" s="136"/>
      <c r="M278" s="136"/>
      <c r="N278" s="136"/>
      <c r="O278" s="136"/>
      <c r="P278" s="136"/>
      <c r="Q278" s="136"/>
      <c r="R278" s="136"/>
      <c r="S278" s="136"/>
      <c r="T278" s="136"/>
      <c r="U278" s="136"/>
    </row>
    <row r="279" ht="15.75" customHeight="1">
      <c r="A279" s="160"/>
      <c r="B279" s="136"/>
      <c r="C279" s="136"/>
      <c r="D279" s="136"/>
      <c r="E279" s="136"/>
      <c r="F279" s="136"/>
      <c r="G279" s="136"/>
      <c r="H279" s="136"/>
      <c r="I279" s="136"/>
      <c r="J279" s="136"/>
      <c r="K279" s="136"/>
      <c r="L279" s="136"/>
      <c r="M279" s="136"/>
      <c r="N279" s="136"/>
      <c r="O279" s="136"/>
      <c r="P279" s="136"/>
      <c r="Q279" s="136"/>
      <c r="R279" s="136"/>
      <c r="S279" s="136"/>
      <c r="T279" s="136"/>
      <c r="U279" s="136"/>
    </row>
    <row r="280" ht="15.75" customHeight="1">
      <c r="A280" s="160"/>
      <c r="B280" s="136"/>
      <c r="C280" s="136"/>
      <c r="D280" s="136"/>
      <c r="E280" s="136"/>
      <c r="F280" s="136"/>
      <c r="G280" s="136"/>
      <c r="H280" s="136"/>
      <c r="I280" s="136"/>
      <c r="J280" s="136"/>
      <c r="K280" s="136"/>
      <c r="L280" s="136"/>
      <c r="M280" s="136"/>
      <c r="N280" s="136"/>
      <c r="O280" s="136"/>
      <c r="P280" s="136"/>
      <c r="Q280" s="136"/>
      <c r="R280" s="136"/>
      <c r="S280" s="136"/>
      <c r="T280" s="136"/>
      <c r="U280" s="136"/>
    </row>
    <row r="281" ht="15.75" customHeight="1">
      <c r="A281" s="160"/>
      <c r="B281" s="136"/>
      <c r="C281" s="136"/>
      <c r="D281" s="136"/>
      <c r="E281" s="136"/>
      <c r="F281" s="136"/>
      <c r="G281" s="136"/>
      <c r="H281" s="136"/>
      <c r="I281" s="136"/>
      <c r="J281" s="136"/>
      <c r="K281" s="136"/>
      <c r="L281" s="136"/>
      <c r="M281" s="136"/>
      <c r="N281" s="136"/>
      <c r="O281" s="136"/>
      <c r="P281" s="136"/>
      <c r="Q281" s="136"/>
      <c r="R281" s="136"/>
      <c r="S281" s="136"/>
      <c r="T281" s="136"/>
      <c r="U281" s="136"/>
    </row>
    <row r="282" ht="15.75" customHeight="1">
      <c r="A282" s="160"/>
      <c r="B282" s="136"/>
      <c r="C282" s="136"/>
      <c r="D282" s="136"/>
      <c r="E282" s="136"/>
      <c r="F282" s="136"/>
      <c r="G282" s="136"/>
      <c r="H282" s="136"/>
      <c r="I282" s="136"/>
      <c r="J282" s="136"/>
      <c r="K282" s="136"/>
      <c r="L282" s="136"/>
      <c r="M282" s="136"/>
      <c r="N282" s="136"/>
      <c r="O282" s="136"/>
      <c r="P282" s="136"/>
      <c r="Q282" s="136"/>
      <c r="R282" s="136"/>
      <c r="S282" s="136"/>
      <c r="T282" s="136"/>
      <c r="U282" s="136"/>
    </row>
    <row r="283" ht="15.75" customHeight="1">
      <c r="A283" s="160"/>
      <c r="B283" s="136"/>
      <c r="C283" s="136"/>
      <c r="D283" s="136"/>
      <c r="E283" s="136"/>
      <c r="F283" s="136"/>
      <c r="G283" s="136"/>
      <c r="H283" s="136"/>
      <c r="I283" s="136"/>
      <c r="J283" s="136"/>
      <c r="K283" s="136"/>
      <c r="L283" s="136"/>
      <c r="M283" s="136"/>
      <c r="N283" s="136"/>
      <c r="O283" s="136"/>
      <c r="P283" s="136"/>
      <c r="Q283" s="136"/>
      <c r="R283" s="136"/>
      <c r="S283" s="136"/>
      <c r="T283" s="136"/>
      <c r="U283" s="136"/>
    </row>
    <row r="284" ht="15.75" customHeight="1">
      <c r="A284" s="160"/>
      <c r="B284" s="136"/>
      <c r="C284" s="136"/>
      <c r="D284" s="136"/>
      <c r="E284" s="136"/>
      <c r="F284" s="136"/>
      <c r="G284" s="136"/>
      <c r="H284" s="136"/>
      <c r="I284" s="136"/>
      <c r="J284" s="136"/>
      <c r="K284" s="136"/>
      <c r="L284" s="136"/>
      <c r="M284" s="136"/>
      <c r="N284" s="136"/>
      <c r="O284" s="136"/>
      <c r="P284" s="136"/>
      <c r="Q284" s="136"/>
      <c r="R284" s="136"/>
      <c r="S284" s="136"/>
      <c r="T284" s="136"/>
      <c r="U284" s="136"/>
    </row>
    <row r="285" ht="15.75" customHeight="1">
      <c r="A285" s="160"/>
      <c r="B285" s="136"/>
      <c r="C285" s="136"/>
      <c r="D285" s="136"/>
      <c r="E285" s="136"/>
      <c r="F285" s="136"/>
      <c r="G285" s="136"/>
      <c r="H285" s="136"/>
      <c r="I285" s="136"/>
      <c r="J285" s="136"/>
      <c r="K285" s="136"/>
      <c r="L285" s="136"/>
      <c r="M285" s="136"/>
      <c r="N285" s="136"/>
      <c r="O285" s="136"/>
      <c r="P285" s="136"/>
      <c r="Q285" s="136"/>
      <c r="R285" s="136"/>
      <c r="S285" s="136"/>
      <c r="T285" s="136"/>
      <c r="U285" s="136"/>
    </row>
    <row r="286" ht="15.75" customHeight="1">
      <c r="A286" s="160"/>
      <c r="B286" s="136"/>
      <c r="C286" s="136"/>
      <c r="D286" s="136"/>
      <c r="E286" s="136"/>
      <c r="F286" s="136"/>
      <c r="G286" s="136"/>
      <c r="H286" s="136"/>
      <c r="I286" s="136"/>
      <c r="J286" s="136"/>
      <c r="K286" s="136"/>
      <c r="L286" s="136"/>
      <c r="M286" s="136"/>
      <c r="N286" s="136"/>
      <c r="O286" s="136"/>
      <c r="P286" s="136"/>
      <c r="Q286" s="136"/>
      <c r="R286" s="136"/>
      <c r="S286" s="136"/>
      <c r="T286" s="136"/>
      <c r="U286" s="136"/>
    </row>
    <row r="287" ht="15.75" customHeight="1">
      <c r="A287" s="160"/>
      <c r="B287" s="136"/>
      <c r="C287" s="136"/>
      <c r="D287" s="136"/>
      <c r="E287" s="136"/>
      <c r="F287" s="136"/>
      <c r="G287" s="136"/>
      <c r="H287" s="136"/>
      <c r="I287" s="136"/>
      <c r="J287" s="136"/>
      <c r="K287" s="136"/>
      <c r="L287" s="136"/>
      <c r="M287" s="136"/>
      <c r="N287" s="136"/>
      <c r="O287" s="136"/>
      <c r="P287" s="136"/>
      <c r="Q287" s="136"/>
      <c r="R287" s="136"/>
      <c r="S287" s="136"/>
      <c r="T287" s="136"/>
      <c r="U287" s="136"/>
    </row>
    <row r="288" ht="15.75" customHeight="1">
      <c r="A288" s="160"/>
      <c r="B288" s="136"/>
      <c r="C288" s="136"/>
      <c r="D288" s="136"/>
      <c r="E288" s="136"/>
      <c r="F288" s="136"/>
      <c r="G288" s="136"/>
      <c r="H288" s="136"/>
      <c r="I288" s="136"/>
      <c r="J288" s="136"/>
      <c r="K288" s="136"/>
      <c r="L288" s="136"/>
      <c r="M288" s="136"/>
      <c r="N288" s="136"/>
      <c r="O288" s="136"/>
      <c r="P288" s="136"/>
      <c r="Q288" s="136"/>
      <c r="R288" s="136"/>
      <c r="S288" s="136"/>
      <c r="T288" s="136"/>
      <c r="U288" s="136"/>
    </row>
    <row r="289" ht="15.75" customHeight="1">
      <c r="A289" s="160"/>
      <c r="B289" s="136"/>
      <c r="C289" s="136"/>
      <c r="D289" s="136"/>
      <c r="E289" s="136"/>
      <c r="F289" s="136"/>
      <c r="G289" s="136"/>
      <c r="H289" s="136"/>
      <c r="I289" s="136"/>
      <c r="J289" s="136"/>
      <c r="K289" s="136"/>
      <c r="L289" s="136"/>
      <c r="M289" s="136"/>
      <c r="N289" s="136"/>
      <c r="O289" s="136"/>
      <c r="P289" s="136"/>
      <c r="Q289" s="136"/>
      <c r="R289" s="136"/>
      <c r="S289" s="136"/>
      <c r="T289" s="136"/>
      <c r="U289" s="136"/>
    </row>
    <row r="290" ht="15.75" customHeight="1">
      <c r="A290" s="160"/>
      <c r="B290" s="136"/>
      <c r="C290" s="136"/>
      <c r="D290" s="136"/>
      <c r="E290" s="136"/>
      <c r="F290" s="136"/>
      <c r="G290" s="136"/>
      <c r="H290" s="136"/>
      <c r="I290" s="136"/>
      <c r="J290" s="136"/>
      <c r="K290" s="136"/>
      <c r="L290" s="136"/>
      <c r="M290" s="136"/>
      <c r="N290" s="136"/>
      <c r="O290" s="136"/>
      <c r="P290" s="136"/>
      <c r="Q290" s="136"/>
      <c r="R290" s="136"/>
      <c r="S290" s="136"/>
      <c r="T290" s="136"/>
      <c r="U290" s="136"/>
    </row>
    <row r="291" ht="15.75" customHeight="1">
      <c r="A291" s="160"/>
      <c r="B291" s="136"/>
      <c r="C291" s="136"/>
      <c r="D291" s="136"/>
      <c r="E291" s="136"/>
      <c r="F291" s="136"/>
      <c r="G291" s="136"/>
      <c r="H291" s="136"/>
      <c r="I291" s="136"/>
      <c r="J291" s="136"/>
      <c r="K291" s="136"/>
      <c r="L291" s="136"/>
      <c r="M291" s="136"/>
      <c r="N291" s="136"/>
      <c r="O291" s="136"/>
      <c r="P291" s="136"/>
      <c r="Q291" s="136"/>
      <c r="R291" s="136"/>
      <c r="S291" s="136"/>
      <c r="T291" s="136"/>
      <c r="U291" s="136"/>
    </row>
    <row r="292" ht="15.75" customHeight="1">
      <c r="A292" s="160"/>
      <c r="B292" s="136"/>
      <c r="C292" s="136"/>
      <c r="D292" s="136"/>
      <c r="E292" s="136"/>
      <c r="F292" s="136"/>
      <c r="G292" s="136"/>
      <c r="H292" s="136"/>
      <c r="I292" s="136"/>
      <c r="J292" s="136"/>
      <c r="K292" s="136"/>
      <c r="L292" s="136"/>
      <c r="M292" s="136"/>
      <c r="N292" s="136"/>
      <c r="O292" s="136"/>
      <c r="P292" s="136"/>
      <c r="Q292" s="136"/>
      <c r="R292" s="136"/>
      <c r="S292" s="136"/>
      <c r="T292" s="136"/>
      <c r="U292" s="136"/>
    </row>
    <row r="293" ht="15.75" customHeight="1">
      <c r="A293" s="160"/>
      <c r="B293" s="136"/>
      <c r="C293" s="136"/>
      <c r="D293" s="136"/>
      <c r="E293" s="136"/>
      <c r="F293" s="136"/>
      <c r="G293" s="136"/>
      <c r="H293" s="136"/>
      <c r="I293" s="136"/>
      <c r="J293" s="136"/>
      <c r="K293" s="136"/>
      <c r="L293" s="136"/>
      <c r="M293" s="136"/>
      <c r="N293" s="136"/>
      <c r="O293" s="136"/>
      <c r="P293" s="136"/>
      <c r="Q293" s="136"/>
      <c r="R293" s="136"/>
      <c r="S293" s="136"/>
      <c r="T293" s="136"/>
      <c r="U293" s="136"/>
    </row>
    <row r="294" ht="15.75" customHeight="1">
      <c r="A294" s="160"/>
      <c r="B294" s="136"/>
      <c r="C294" s="136"/>
      <c r="D294" s="136"/>
      <c r="E294" s="136"/>
      <c r="F294" s="136"/>
      <c r="G294" s="136"/>
      <c r="H294" s="136"/>
      <c r="I294" s="136"/>
      <c r="J294" s="136"/>
      <c r="K294" s="136"/>
      <c r="L294" s="136"/>
      <c r="M294" s="136"/>
      <c r="N294" s="136"/>
      <c r="O294" s="136"/>
      <c r="P294" s="136"/>
      <c r="Q294" s="136"/>
      <c r="R294" s="136"/>
      <c r="S294" s="136"/>
      <c r="T294" s="136"/>
      <c r="U294" s="136"/>
    </row>
    <row r="295" ht="15.75" customHeight="1">
      <c r="A295" s="160"/>
      <c r="B295" s="136"/>
      <c r="C295" s="136"/>
      <c r="D295" s="136"/>
      <c r="E295" s="136"/>
      <c r="F295" s="136"/>
      <c r="G295" s="136"/>
      <c r="H295" s="136"/>
      <c r="I295" s="136"/>
      <c r="J295" s="136"/>
      <c r="K295" s="136"/>
      <c r="L295" s="136"/>
      <c r="M295" s="136"/>
      <c r="N295" s="136"/>
      <c r="O295" s="136"/>
      <c r="P295" s="136"/>
      <c r="Q295" s="136"/>
      <c r="R295" s="136"/>
      <c r="S295" s="136"/>
      <c r="T295" s="136"/>
      <c r="U295" s="136"/>
    </row>
    <row r="296" ht="15.75" customHeight="1">
      <c r="A296" s="160"/>
      <c r="B296" s="136"/>
      <c r="C296" s="136"/>
      <c r="D296" s="136"/>
      <c r="E296" s="136"/>
      <c r="F296" s="136"/>
      <c r="G296" s="136"/>
      <c r="H296" s="136"/>
      <c r="I296" s="136"/>
      <c r="J296" s="136"/>
      <c r="K296" s="136"/>
      <c r="L296" s="136"/>
      <c r="M296" s="136"/>
      <c r="N296" s="136"/>
      <c r="O296" s="136"/>
      <c r="P296" s="136"/>
      <c r="Q296" s="136"/>
      <c r="R296" s="136"/>
      <c r="S296" s="136"/>
      <c r="T296" s="136"/>
      <c r="U296" s="136"/>
    </row>
    <row r="297" ht="15.75" customHeight="1">
      <c r="A297" s="160"/>
      <c r="B297" s="136"/>
      <c r="C297" s="136"/>
      <c r="D297" s="136"/>
      <c r="E297" s="136"/>
      <c r="F297" s="136"/>
      <c r="G297" s="136"/>
      <c r="H297" s="136"/>
      <c r="I297" s="136"/>
      <c r="J297" s="136"/>
      <c r="K297" s="136"/>
      <c r="L297" s="136"/>
      <c r="M297" s="136"/>
      <c r="N297" s="136"/>
      <c r="O297" s="136"/>
      <c r="P297" s="136"/>
      <c r="Q297" s="136"/>
      <c r="R297" s="136"/>
      <c r="S297" s="136"/>
      <c r="T297" s="136"/>
      <c r="U297" s="136"/>
    </row>
    <row r="298" ht="15.75" customHeight="1">
      <c r="A298" s="160"/>
      <c r="B298" s="136"/>
      <c r="C298" s="136"/>
      <c r="D298" s="136"/>
      <c r="E298" s="136"/>
      <c r="F298" s="136"/>
      <c r="G298" s="136"/>
      <c r="H298" s="136"/>
      <c r="I298" s="136"/>
      <c r="J298" s="136"/>
      <c r="K298" s="136"/>
      <c r="L298" s="136"/>
      <c r="M298" s="136"/>
      <c r="N298" s="136"/>
      <c r="O298" s="136"/>
      <c r="P298" s="136"/>
      <c r="Q298" s="136"/>
      <c r="R298" s="136"/>
      <c r="S298" s="136"/>
      <c r="T298" s="136"/>
      <c r="U298" s="136"/>
    </row>
    <row r="299" ht="15.75" customHeight="1">
      <c r="A299" s="160"/>
      <c r="B299" s="136"/>
      <c r="C299" s="136"/>
      <c r="D299" s="136"/>
      <c r="E299" s="136"/>
      <c r="F299" s="136"/>
      <c r="G299" s="136"/>
      <c r="H299" s="136"/>
      <c r="I299" s="136"/>
      <c r="J299" s="136"/>
      <c r="K299" s="136"/>
      <c r="L299" s="136"/>
      <c r="M299" s="136"/>
      <c r="N299" s="136"/>
      <c r="O299" s="136"/>
      <c r="P299" s="136"/>
      <c r="Q299" s="136"/>
      <c r="R299" s="136"/>
      <c r="S299" s="136"/>
      <c r="T299" s="136"/>
      <c r="U299" s="136"/>
    </row>
    <row r="300" ht="15.75" customHeight="1">
      <c r="A300" s="160"/>
      <c r="B300" s="136"/>
      <c r="C300" s="136"/>
      <c r="D300" s="136"/>
      <c r="E300" s="136"/>
      <c r="F300" s="136"/>
      <c r="G300" s="136"/>
      <c r="H300" s="136"/>
      <c r="I300" s="136"/>
      <c r="J300" s="136"/>
      <c r="K300" s="136"/>
      <c r="L300" s="136"/>
      <c r="M300" s="136"/>
      <c r="N300" s="136"/>
      <c r="O300" s="136"/>
      <c r="P300" s="136"/>
      <c r="Q300" s="136"/>
      <c r="R300" s="136"/>
      <c r="S300" s="136"/>
      <c r="T300" s="136"/>
      <c r="U300" s="136"/>
    </row>
    <row r="301" ht="15.75" customHeight="1">
      <c r="A301" s="160"/>
      <c r="B301" s="136"/>
      <c r="C301" s="136"/>
      <c r="D301" s="136"/>
      <c r="E301" s="136"/>
      <c r="F301" s="136"/>
      <c r="G301" s="136"/>
      <c r="H301" s="136"/>
      <c r="I301" s="136"/>
      <c r="J301" s="136"/>
      <c r="K301" s="136"/>
      <c r="L301" s="136"/>
      <c r="M301" s="136"/>
      <c r="N301" s="136"/>
      <c r="O301" s="136"/>
      <c r="P301" s="136"/>
      <c r="Q301" s="136"/>
      <c r="R301" s="136"/>
      <c r="S301" s="136"/>
      <c r="T301" s="136"/>
      <c r="U301" s="136"/>
    </row>
    <row r="302" ht="15.75" customHeight="1">
      <c r="A302" s="160"/>
      <c r="B302" s="136"/>
      <c r="C302" s="136"/>
      <c r="D302" s="136"/>
      <c r="E302" s="136"/>
      <c r="F302" s="136"/>
      <c r="G302" s="136"/>
      <c r="H302" s="136"/>
      <c r="I302" s="136"/>
      <c r="J302" s="136"/>
      <c r="K302" s="136"/>
      <c r="L302" s="136"/>
      <c r="M302" s="136"/>
      <c r="N302" s="136"/>
      <c r="O302" s="136"/>
      <c r="P302" s="136"/>
      <c r="Q302" s="136"/>
      <c r="R302" s="136"/>
      <c r="S302" s="136"/>
      <c r="T302" s="136"/>
      <c r="U302" s="136"/>
    </row>
    <row r="303" ht="15.75" customHeight="1">
      <c r="A303" s="160"/>
      <c r="B303" s="136"/>
      <c r="C303" s="136"/>
      <c r="D303" s="136"/>
      <c r="E303" s="136"/>
      <c r="F303" s="136"/>
      <c r="G303" s="136"/>
      <c r="H303" s="136"/>
      <c r="I303" s="136"/>
      <c r="J303" s="136"/>
      <c r="K303" s="136"/>
      <c r="L303" s="136"/>
      <c r="M303" s="136"/>
      <c r="N303" s="136"/>
      <c r="O303" s="136"/>
      <c r="P303" s="136"/>
      <c r="Q303" s="136"/>
      <c r="R303" s="136"/>
      <c r="S303" s="136"/>
      <c r="T303" s="136"/>
      <c r="U303" s="136"/>
    </row>
    <row r="304" ht="15.75" customHeight="1">
      <c r="A304" s="160"/>
      <c r="B304" s="136"/>
      <c r="C304" s="136"/>
      <c r="D304" s="136"/>
      <c r="E304" s="136"/>
      <c r="F304" s="136"/>
      <c r="G304" s="136"/>
      <c r="H304" s="136"/>
      <c r="I304" s="136"/>
      <c r="J304" s="136"/>
      <c r="K304" s="136"/>
      <c r="L304" s="136"/>
      <c r="M304" s="136"/>
      <c r="N304" s="136"/>
      <c r="O304" s="136"/>
      <c r="P304" s="136"/>
      <c r="Q304" s="136"/>
      <c r="R304" s="136"/>
      <c r="S304" s="136"/>
      <c r="T304" s="136"/>
      <c r="U304" s="136"/>
    </row>
    <row r="305" ht="15.75" customHeight="1">
      <c r="A305" s="160"/>
      <c r="B305" s="136"/>
      <c r="C305" s="136"/>
      <c r="D305" s="136"/>
      <c r="E305" s="136"/>
      <c r="F305" s="136"/>
      <c r="G305" s="136"/>
      <c r="H305" s="136"/>
      <c r="I305" s="136"/>
      <c r="J305" s="136"/>
      <c r="K305" s="136"/>
      <c r="L305" s="136"/>
      <c r="M305" s="136"/>
      <c r="N305" s="136"/>
      <c r="O305" s="136"/>
      <c r="P305" s="136"/>
      <c r="Q305" s="136"/>
      <c r="R305" s="136"/>
      <c r="S305" s="136"/>
      <c r="T305" s="136"/>
      <c r="U305" s="136"/>
    </row>
    <row r="306" ht="15.75" customHeight="1">
      <c r="A306" s="160"/>
      <c r="B306" s="136"/>
      <c r="C306" s="136"/>
      <c r="D306" s="136"/>
      <c r="E306" s="136"/>
      <c r="F306" s="136"/>
      <c r="G306" s="136"/>
      <c r="H306" s="136"/>
      <c r="I306" s="136"/>
      <c r="J306" s="136"/>
      <c r="K306" s="136"/>
      <c r="L306" s="136"/>
      <c r="M306" s="136"/>
      <c r="N306" s="136"/>
      <c r="O306" s="136"/>
      <c r="P306" s="136"/>
      <c r="Q306" s="136"/>
      <c r="R306" s="136"/>
      <c r="S306" s="136"/>
      <c r="T306" s="136"/>
      <c r="U306" s="136"/>
    </row>
    <row r="307" ht="15.75" customHeight="1">
      <c r="A307" s="160"/>
      <c r="B307" s="136"/>
      <c r="C307" s="136"/>
      <c r="D307" s="136"/>
      <c r="E307" s="136"/>
      <c r="F307" s="136"/>
      <c r="G307" s="136"/>
      <c r="H307" s="136"/>
      <c r="I307" s="136"/>
      <c r="J307" s="136"/>
      <c r="K307" s="136"/>
      <c r="L307" s="136"/>
      <c r="M307" s="136"/>
      <c r="N307" s="136"/>
      <c r="O307" s="136"/>
      <c r="P307" s="136"/>
      <c r="Q307" s="136"/>
      <c r="R307" s="136"/>
      <c r="S307" s="136"/>
      <c r="T307" s="136"/>
      <c r="U307" s="136"/>
    </row>
    <row r="308" ht="15.75" customHeight="1">
      <c r="A308" s="160"/>
      <c r="B308" s="136"/>
      <c r="C308" s="136"/>
      <c r="D308" s="136"/>
      <c r="E308" s="136"/>
      <c r="F308" s="136"/>
      <c r="G308" s="136"/>
      <c r="H308" s="136"/>
      <c r="I308" s="136"/>
      <c r="J308" s="136"/>
      <c r="K308" s="136"/>
      <c r="L308" s="136"/>
      <c r="M308" s="136"/>
      <c r="N308" s="136"/>
      <c r="O308" s="136"/>
      <c r="P308" s="136"/>
      <c r="Q308" s="136"/>
      <c r="R308" s="136"/>
      <c r="S308" s="136"/>
      <c r="T308" s="136"/>
      <c r="U308" s="136"/>
    </row>
    <row r="309" ht="15.75" customHeight="1">
      <c r="A309" s="160"/>
      <c r="B309" s="136"/>
      <c r="C309" s="136"/>
      <c r="D309" s="136"/>
      <c r="E309" s="136"/>
      <c r="F309" s="136"/>
      <c r="G309" s="136"/>
      <c r="H309" s="136"/>
      <c r="I309" s="136"/>
      <c r="J309" s="136"/>
      <c r="K309" s="136"/>
      <c r="L309" s="136"/>
      <c r="M309" s="136"/>
      <c r="N309" s="136"/>
      <c r="O309" s="136"/>
      <c r="P309" s="136"/>
      <c r="Q309" s="136"/>
      <c r="R309" s="136"/>
      <c r="S309" s="136"/>
      <c r="T309" s="136"/>
      <c r="U309" s="136"/>
    </row>
    <row r="310" ht="15.75" customHeight="1">
      <c r="A310" s="160"/>
      <c r="B310" s="136"/>
      <c r="C310" s="136"/>
      <c r="D310" s="136"/>
      <c r="E310" s="136"/>
      <c r="F310" s="136"/>
      <c r="G310" s="136"/>
      <c r="H310" s="136"/>
      <c r="I310" s="136"/>
      <c r="J310" s="136"/>
      <c r="K310" s="136"/>
      <c r="L310" s="136"/>
      <c r="M310" s="136"/>
      <c r="N310" s="136"/>
      <c r="O310" s="136"/>
      <c r="P310" s="136"/>
      <c r="Q310" s="136"/>
      <c r="R310" s="136"/>
      <c r="S310" s="136"/>
      <c r="T310" s="136"/>
      <c r="U310" s="136"/>
    </row>
    <row r="311" ht="15.75" customHeight="1">
      <c r="A311" s="160"/>
      <c r="B311" s="136"/>
      <c r="C311" s="136"/>
      <c r="D311" s="136"/>
      <c r="E311" s="136"/>
      <c r="F311" s="136"/>
      <c r="G311" s="136"/>
      <c r="H311" s="136"/>
      <c r="I311" s="136"/>
      <c r="J311" s="136"/>
      <c r="K311" s="136"/>
      <c r="L311" s="136"/>
      <c r="M311" s="136"/>
      <c r="N311" s="136"/>
      <c r="O311" s="136"/>
      <c r="P311" s="136"/>
      <c r="Q311" s="136"/>
      <c r="R311" s="136"/>
      <c r="S311" s="136"/>
      <c r="T311" s="136"/>
      <c r="U311" s="136"/>
    </row>
    <row r="312" ht="15.75" customHeight="1">
      <c r="A312" s="160"/>
      <c r="B312" s="136"/>
      <c r="C312" s="136"/>
      <c r="D312" s="136"/>
      <c r="E312" s="136"/>
      <c r="F312" s="136"/>
      <c r="G312" s="136"/>
      <c r="H312" s="136"/>
      <c r="I312" s="136"/>
      <c r="J312" s="136"/>
      <c r="K312" s="136"/>
      <c r="L312" s="136"/>
      <c r="M312" s="136"/>
      <c r="N312" s="136"/>
      <c r="O312" s="136"/>
      <c r="P312" s="136"/>
      <c r="Q312" s="136"/>
      <c r="R312" s="136"/>
      <c r="S312" s="136"/>
      <c r="T312" s="136"/>
      <c r="U312" s="136"/>
    </row>
    <row r="313" ht="15.75" customHeight="1">
      <c r="A313" s="160"/>
      <c r="B313" s="136"/>
      <c r="C313" s="136"/>
      <c r="D313" s="136"/>
      <c r="E313" s="136"/>
      <c r="F313" s="136"/>
      <c r="G313" s="136"/>
      <c r="H313" s="136"/>
      <c r="I313" s="136"/>
      <c r="J313" s="136"/>
      <c r="K313" s="136"/>
      <c r="L313" s="136"/>
      <c r="M313" s="136"/>
      <c r="N313" s="136"/>
      <c r="O313" s="136"/>
      <c r="P313" s="136"/>
      <c r="Q313" s="136"/>
      <c r="R313" s="136"/>
      <c r="S313" s="136"/>
      <c r="T313" s="136"/>
      <c r="U313" s="136"/>
    </row>
    <row r="314" ht="15.75" customHeight="1">
      <c r="A314" s="160"/>
      <c r="B314" s="136"/>
      <c r="C314" s="136"/>
      <c r="D314" s="136"/>
      <c r="E314" s="136"/>
      <c r="F314" s="136"/>
      <c r="G314" s="136"/>
      <c r="H314" s="136"/>
      <c r="I314" s="136"/>
      <c r="J314" s="136"/>
      <c r="K314" s="136"/>
      <c r="L314" s="136"/>
      <c r="M314" s="136"/>
      <c r="N314" s="136"/>
      <c r="O314" s="136"/>
      <c r="P314" s="136"/>
      <c r="Q314" s="136"/>
      <c r="R314" s="136"/>
      <c r="S314" s="136"/>
      <c r="T314" s="136"/>
      <c r="U314" s="136"/>
    </row>
    <row r="315" ht="15.75" customHeight="1">
      <c r="A315" s="160"/>
      <c r="B315" s="136"/>
      <c r="C315" s="136"/>
      <c r="D315" s="136"/>
      <c r="E315" s="136"/>
      <c r="F315" s="136"/>
      <c r="G315" s="136"/>
      <c r="H315" s="136"/>
      <c r="I315" s="136"/>
      <c r="J315" s="136"/>
      <c r="K315" s="136"/>
      <c r="L315" s="136"/>
      <c r="M315" s="136"/>
      <c r="N315" s="136"/>
      <c r="O315" s="136"/>
      <c r="P315" s="136"/>
      <c r="Q315" s="136"/>
      <c r="R315" s="136"/>
      <c r="S315" s="136"/>
      <c r="T315" s="136"/>
      <c r="U315" s="136"/>
    </row>
    <row r="316" ht="15.75" customHeight="1">
      <c r="A316" s="160"/>
      <c r="B316" s="136"/>
      <c r="C316" s="136"/>
      <c r="D316" s="136"/>
      <c r="E316" s="136"/>
      <c r="F316" s="136"/>
      <c r="G316" s="136"/>
      <c r="H316" s="136"/>
      <c r="I316" s="136"/>
      <c r="J316" s="136"/>
      <c r="K316" s="136"/>
      <c r="L316" s="136"/>
      <c r="M316" s="136"/>
      <c r="N316" s="136"/>
      <c r="O316" s="136"/>
      <c r="P316" s="136"/>
      <c r="Q316" s="136"/>
      <c r="R316" s="136"/>
      <c r="S316" s="136"/>
      <c r="T316" s="136"/>
      <c r="U316" s="136"/>
    </row>
    <row r="317" ht="15.75" customHeight="1">
      <c r="A317" s="160"/>
      <c r="B317" s="136"/>
      <c r="C317" s="136"/>
      <c r="D317" s="136"/>
      <c r="E317" s="136"/>
      <c r="F317" s="136"/>
      <c r="G317" s="136"/>
      <c r="H317" s="136"/>
      <c r="I317" s="136"/>
      <c r="J317" s="136"/>
      <c r="K317" s="136"/>
      <c r="L317" s="136"/>
      <c r="M317" s="136"/>
      <c r="N317" s="136"/>
      <c r="O317" s="136"/>
      <c r="P317" s="136"/>
      <c r="Q317" s="136"/>
      <c r="R317" s="136"/>
      <c r="S317" s="136"/>
      <c r="T317" s="136"/>
      <c r="U317" s="136"/>
    </row>
    <row r="318" ht="15.75" customHeight="1">
      <c r="A318" s="160"/>
      <c r="B318" s="136"/>
      <c r="C318" s="136"/>
      <c r="D318" s="136"/>
      <c r="E318" s="136"/>
      <c r="F318" s="136"/>
      <c r="G318" s="136"/>
      <c r="H318" s="136"/>
      <c r="I318" s="136"/>
      <c r="J318" s="136"/>
      <c r="K318" s="136"/>
      <c r="L318" s="136"/>
      <c r="M318" s="136"/>
      <c r="N318" s="136"/>
      <c r="O318" s="136"/>
      <c r="P318" s="136"/>
      <c r="Q318" s="136"/>
      <c r="R318" s="136"/>
      <c r="S318" s="136"/>
      <c r="T318" s="136"/>
      <c r="U318" s="136"/>
    </row>
    <row r="319" ht="15.75" customHeight="1">
      <c r="A319" s="160"/>
      <c r="B319" s="136"/>
      <c r="C319" s="136"/>
      <c r="D319" s="136"/>
      <c r="E319" s="136"/>
      <c r="F319" s="136"/>
      <c r="G319" s="136"/>
      <c r="H319" s="136"/>
      <c r="I319" s="136"/>
      <c r="J319" s="136"/>
      <c r="K319" s="136"/>
      <c r="L319" s="136"/>
      <c r="M319" s="136"/>
      <c r="N319" s="136"/>
      <c r="O319" s="136"/>
      <c r="P319" s="136"/>
      <c r="Q319" s="136"/>
      <c r="R319" s="136"/>
      <c r="S319" s="136"/>
      <c r="T319" s="136"/>
      <c r="U319" s="136"/>
    </row>
    <row r="320" ht="15.75" customHeight="1">
      <c r="A320" s="160"/>
      <c r="B320" s="136"/>
      <c r="C320" s="136"/>
      <c r="D320" s="136"/>
      <c r="E320" s="136"/>
      <c r="F320" s="136"/>
      <c r="G320" s="136"/>
      <c r="H320" s="136"/>
      <c r="I320" s="136"/>
      <c r="J320" s="136"/>
      <c r="K320" s="136"/>
      <c r="L320" s="136"/>
      <c r="M320" s="136"/>
      <c r="N320" s="136"/>
      <c r="O320" s="136"/>
      <c r="P320" s="136"/>
      <c r="Q320" s="136"/>
      <c r="R320" s="136"/>
      <c r="S320" s="136"/>
      <c r="T320" s="136"/>
      <c r="U320" s="136"/>
    </row>
    <row r="321" ht="15.75" customHeight="1">
      <c r="A321" s="160"/>
      <c r="B321" s="136"/>
      <c r="C321" s="136"/>
      <c r="D321" s="136"/>
      <c r="E321" s="136"/>
      <c r="F321" s="136"/>
      <c r="G321" s="136"/>
      <c r="H321" s="136"/>
      <c r="I321" s="136"/>
      <c r="J321" s="136"/>
      <c r="K321" s="136"/>
      <c r="L321" s="136"/>
      <c r="M321" s="136"/>
      <c r="N321" s="136"/>
      <c r="O321" s="136"/>
      <c r="P321" s="136"/>
      <c r="Q321" s="136"/>
      <c r="R321" s="136"/>
      <c r="S321" s="136"/>
      <c r="T321" s="136"/>
      <c r="U321" s="136"/>
    </row>
    <row r="322" ht="15.75" customHeight="1">
      <c r="A322" s="160"/>
      <c r="B322" s="136"/>
      <c r="C322" s="136"/>
      <c r="D322" s="136"/>
      <c r="E322" s="136"/>
      <c r="F322" s="136"/>
      <c r="G322" s="136"/>
      <c r="H322" s="136"/>
      <c r="I322" s="136"/>
      <c r="J322" s="136"/>
      <c r="K322" s="136"/>
      <c r="L322" s="136"/>
      <c r="M322" s="136"/>
      <c r="N322" s="136"/>
      <c r="O322" s="136"/>
      <c r="P322" s="136"/>
      <c r="Q322" s="136"/>
      <c r="R322" s="136"/>
      <c r="S322" s="136"/>
      <c r="T322" s="136"/>
      <c r="U322" s="136"/>
    </row>
    <row r="323" ht="15.75" customHeight="1">
      <c r="A323" s="160"/>
      <c r="B323" s="136"/>
      <c r="C323" s="136"/>
      <c r="D323" s="136"/>
      <c r="E323" s="136"/>
      <c r="F323" s="136"/>
      <c r="G323" s="136"/>
      <c r="H323" s="136"/>
      <c r="I323" s="136"/>
      <c r="J323" s="136"/>
      <c r="K323" s="136"/>
      <c r="L323" s="136"/>
      <c r="M323" s="136"/>
      <c r="N323" s="136"/>
      <c r="O323" s="136"/>
      <c r="P323" s="136"/>
      <c r="Q323" s="136"/>
      <c r="R323" s="136"/>
      <c r="S323" s="136"/>
      <c r="T323" s="136"/>
      <c r="U323" s="136"/>
    </row>
    <row r="324" ht="15.75" customHeight="1">
      <c r="A324" s="160"/>
      <c r="B324" s="136"/>
      <c r="C324" s="136"/>
      <c r="D324" s="136"/>
      <c r="E324" s="136"/>
      <c r="F324" s="136"/>
      <c r="G324" s="136"/>
      <c r="H324" s="136"/>
      <c r="I324" s="136"/>
      <c r="J324" s="136"/>
      <c r="K324" s="136"/>
      <c r="L324" s="136"/>
      <c r="M324" s="136"/>
      <c r="N324" s="136"/>
      <c r="O324" s="136"/>
      <c r="P324" s="136"/>
      <c r="Q324" s="136"/>
      <c r="R324" s="136"/>
      <c r="S324" s="136"/>
      <c r="T324" s="136"/>
      <c r="U324" s="136"/>
    </row>
    <row r="325" ht="15.75" customHeight="1">
      <c r="A325" s="160"/>
      <c r="B325" s="136"/>
      <c r="C325" s="136"/>
      <c r="D325" s="136"/>
      <c r="E325" s="136"/>
      <c r="F325" s="136"/>
      <c r="G325" s="136"/>
      <c r="H325" s="136"/>
      <c r="I325" s="136"/>
      <c r="J325" s="136"/>
      <c r="K325" s="136"/>
      <c r="L325" s="136"/>
      <c r="M325" s="136"/>
      <c r="N325" s="136"/>
      <c r="O325" s="136"/>
      <c r="P325" s="136"/>
      <c r="Q325" s="136"/>
      <c r="R325" s="136"/>
      <c r="S325" s="136"/>
      <c r="T325" s="136"/>
      <c r="U325" s="136"/>
    </row>
    <row r="326" ht="15.75" customHeight="1">
      <c r="A326" s="160"/>
      <c r="B326" s="136"/>
      <c r="C326" s="136"/>
      <c r="D326" s="136"/>
      <c r="E326" s="136"/>
      <c r="F326" s="136"/>
      <c r="G326" s="136"/>
      <c r="H326" s="136"/>
      <c r="I326" s="136"/>
      <c r="J326" s="136"/>
      <c r="K326" s="136"/>
      <c r="L326" s="136"/>
      <c r="M326" s="136"/>
      <c r="N326" s="136"/>
      <c r="O326" s="136"/>
      <c r="P326" s="136"/>
      <c r="Q326" s="136"/>
      <c r="R326" s="136"/>
      <c r="S326" s="136"/>
      <c r="T326" s="136"/>
      <c r="U326" s="136"/>
    </row>
    <row r="327" ht="15.75" customHeight="1">
      <c r="A327" s="160"/>
      <c r="B327" s="136"/>
      <c r="C327" s="136"/>
      <c r="D327" s="136"/>
      <c r="E327" s="136"/>
      <c r="F327" s="136"/>
      <c r="G327" s="136"/>
      <c r="H327" s="136"/>
      <c r="I327" s="136"/>
      <c r="J327" s="136"/>
      <c r="K327" s="136"/>
      <c r="L327" s="136"/>
      <c r="M327" s="136"/>
      <c r="N327" s="136"/>
      <c r="O327" s="136"/>
      <c r="P327" s="136"/>
      <c r="Q327" s="136"/>
      <c r="R327" s="136"/>
      <c r="S327" s="136"/>
      <c r="T327" s="136"/>
      <c r="U327" s="136"/>
    </row>
    <row r="328" ht="15.75" customHeight="1">
      <c r="A328" s="160"/>
      <c r="B328" s="136"/>
      <c r="C328" s="136"/>
      <c r="D328" s="136"/>
      <c r="E328" s="136"/>
      <c r="F328" s="136"/>
      <c r="G328" s="136"/>
      <c r="H328" s="136"/>
      <c r="I328" s="136"/>
      <c r="J328" s="136"/>
      <c r="K328" s="136"/>
      <c r="L328" s="136"/>
      <c r="M328" s="136"/>
      <c r="N328" s="136"/>
      <c r="O328" s="136"/>
      <c r="P328" s="136"/>
      <c r="Q328" s="136"/>
      <c r="R328" s="136"/>
      <c r="S328" s="136"/>
      <c r="T328" s="136"/>
      <c r="U328" s="136"/>
    </row>
    <row r="329" ht="15.75" customHeight="1">
      <c r="A329" s="160"/>
      <c r="B329" s="136"/>
      <c r="C329" s="136"/>
      <c r="D329" s="136"/>
      <c r="E329" s="136"/>
      <c r="F329" s="136"/>
      <c r="G329" s="136"/>
      <c r="H329" s="136"/>
      <c r="I329" s="136"/>
      <c r="J329" s="136"/>
      <c r="K329" s="136"/>
      <c r="L329" s="136"/>
      <c r="M329" s="136"/>
      <c r="N329" s="136"/>
      <c r="O329" s="136"/>
      <c r="P329" s="136"/>
      <c r="Q329" s="136"/>
      <c r="R329" s="136"/>
      <c r="S329" s="136"/>
      <c r="T329" s="136"/>
      <c r="U329" s="136"/>
    </row>
    <row r="330" ht="15.75" customHeight="1">
      <c r="A330" s="160"/>
      <c r="B330" s="136"/>
      <c r="C330" s="136"/>
      <c r="D330" s="136"/>
      <c r="E330" s="136"/>
      <c r="F330" s="136"/>
      <c r="G330" s="136"/>
      <c r="H330" s="136"/>
      <c r="I330" s="136"/>
      <c r="J330" s="136"/>
      <c r="K330" s="136"/>
      <c r="L330" s="136"/>
      <c r="M330" s="136"/>
      <c r="N330" s="136"/>
      <c r="O330" s="136"/>
      <c r="P330" s="136"/>
      <c r="Q330" s="136"/>
      <c r="R330" s="136"/>
      <c r="S330" s="136"/>
      <c r="T330" s="136"/>
      <c r="U330" s="136"/>
    </row>
    <row r="331" ht="15.75" customHeight="1">
      <c r="A331" s="160"/>
      <c r="B331" s="136"/>
      <c r="C331" s="136"/>
      <c r="D331" s="136"/>
      <c r="E331" s="136"/>
      <c r="F331" s="136"/>
      <c r="G331" s="136"/>
      <c r="H331" s="136"/>
      <c r="I331" s="136"/>
      <c r="J331" s="136"/>
      <c r="K331" s="136"/>
      <c r="L331" s="136"/>
      <c r="M331" s="136"/>
      <c r="N331" s="136"/>
      <c r="O331" s="136"/>
      <c r="P331" s="136"/>
      <c r="Q331" s="136"/>
      <c r="R331" s="136"/>
      <c r="S331" s="136"/>
      <c r="T331" s="136"/>
      <c r="U331" s="136"/>
    </row>
    <row r="332" ht="15.75" customHeight="1">
      <c r="A332" s="160"/>
      <c r="B332" s="136"/>
      <c r="C332" s="136"/>
      <c r="D332" s="136"/>
      <c r="E332" s="136"/>
      <c r="F332" s="136"/>
      <c r="G332" s="136"/>
      <c r="H332" s="136"/>
      <c r="I332" s="136"/>
      <c r="J332" s="136"/>
      <c r="K332" s="136"/>
      <c r="L332" s="136"/>
      <c r="M332" s="136"/>
      <c r="N332" s="136"/>
      <c r="O332" s="136"/>
      <c r="P332" s="136"/>
      <c r="Q332" s="136"/>
      <c r="R332" s="136"/>
      <c r="S332" s="136"/>
      <c r="T332" s="136"/>
      <c r="U332" s="136"/>
    </row>
    <row r="333" ht="15.75" customHeight="1">
      <c r="A333" s="160"/>
      <c r="B333" s="136"/>
      <c r="C333" s="136"/>
      <c r="D333" s="136"/>
      <c r="E333" s="136"/>
      <c r="F333" s="136"/>
      <c r="G333" s="136"/>
      <c r="H333" s="136"/>
      <c r="I333" s="136"/>
      <c r="J333" s="136"/>
      <c r="K333" s="136"/>
      <c r="L333" s="136"/>
      <c r="M333" s="136"/>
      <c r="N333" s="136"/>
      <c r="O333" s="136"/>
      <c r="P333" s="136"/>
      <c r="Q333" s="136"/>
      <c r="R333" s="136"/>
      <c r="S333" s="136"/>
      <c r="T333" s="136"/>
      <c r="U333" s="136"/>
    </row>
    <row r="334" ht="15.75" customHeight="1">
      <c r="A334" s="160"/>
      <c r="B334" s="136"/>
      <c r="C334" s="136"/>
      <c r="D334" s="136"/>
      <c r="E334" s="136"/>
      <c r="F334" s="136"/>
      <c r="G334" s="136"/>
      <c r="H334" s="136"/>
      <c r="I334" s="136"/>
      <c r="J334" s="136"/>
      <c r="K334" s="136"/>
      <c r="L334" s="136"/>
      <c r="M334" s="136"/>
      <c r="N334" s="136"/>
      <c r="O334" s="136"/>
      <c r="P334" s="136"/>
      <c r="Q334" s="136"/>
      <c r="R334" s="136"/>
      <c r="S334" s="136"/>
      <c r="T334" s="136"/>
      <c r="U334" s="136"/>
    </row>
    <row r="335" ht="15.75" customHeight="1">
      <c r="A335" s="160"/>
      <c r="B335" s="136"/>
      <c r="C335" s="136"/>
      <c r="D335" s="136"/>
      <c r="E335" s="136"/>
      <c r="F335" s="136"/>
      <c r="G335" s="136"/>
      <c r="H335" s="136"/>
      <c r="I335" s="136"/>
      <c r="J335" s="136"/>
      <c r="K335" s="136"/>
      <c r="L335" s="136"/>
      <c r="M335" s="136"/>
      <c r="N335" s="136"/>
      <c r="O335" s="136"/>
      <c r="P335" s="136"/>
      <c r="Q335" s="136"/>
      <c r="R335" s="136"/>
      <c r="S335" s="136"/>
      <c r="T335" s="136"/>
      <c r="U335" s="136"/>
    </row>
    <row r="336" ht="15.75" customHeight="1">
      <c r="A336" s="160"/>
      <c r="B336" s="136"/>
      <c r="C336" s="136"/>
      <c r="D336" s="136"/>
      <c r="E336" s="136"/>
      <c r="F336" s="136"/>
      <c r="G336" s="136"/>
      <c r="H336" s="136"/>
      <c r="I336" s="136"/>
      <c r="J336" s="136"/>
      <c r="K336" s="136"/>
      <c r="L336" s="136"/>
      <c r="M336" s="136"/>
      <c r="N336" s="136"/>
      <c r="O336" s="136"/>
      <c r="P336" s="136"/>
      <c r="Q336" s="136"/>
      <c r="R336" s="136"/>
      <c r="S336" s="136"/>
      <c r="T336" s="136"/>
      <c r="U336" s="136"/>
    </row>
    <row r="337" ht="15.75" customHeight="1">
      <c r="A337" s="160"/>
      <c r="B337" s="136"/>
      <c r="C337" s="136"/>
      <c r="D337" s="136"/>
      <c r="E337" s="136"/>
      <c r="F337" s="136"/>
      <c r="G337" s="136"/>
      <c r="H337" s="136"/>
      <c r="I337" s="136"/>
      <c r="J337" s="136"/>
      <c r="K337" s="136"/>
      <c r="L337" s="136"/>
      <c r="M337" s="136"/>
      <c r="N337" s="136"/>
      <c r="O337" s="136"/>
      <c r="P337" s="136"/>
      <c r="Q337" s="136"/>
      <c r="R337" s="136"/>
      <c r="S337" s="136"/>
      <c r="T337" s="136"/>
      <c r="U337" s="136"/>
    </row>
    <row r="338" ht="15.75" customHeight="1">
      <c r="A338" s="160"/>
      <c r="B338" s="136"/>
      <c r="C338" s="136"/>
      <c r="D338" s="136"/>
      <c r="E338" s="136"/>
      <c r="F338" s="136"/>
      <c r="G338" s="136"/>
      <c r="H338" s="136"/>
      <c r="I338" s="136"/>
      <c r="J338" s="136"/>
      <c r="K338" s="136"/>
      <c r="L338" s="136"/>
      <c r="M338" s="136"/>
      <c r="N338" s="136"/>
      <c r="O338" s="136"/>
      <c r="P338" s="136"/>
      <c r="Q338" s="136"/>
      <c r="R338" s="136"/>
      <c r="S338" s="136"/>
      <c r="T338" s="136"/>
      <c r="U338" s="136"/>
    </row>
    <row r="339" ht="15.75" customHeight="1">
      <c r="A339" s="160"/>
      <c r="B339" s="136"/>
      <c r="C339" s="136"/>
      <c r="D339" s="136"/>
      <c r="E339" s="136"/>
      <c r="F339" s="136"/>
      <c r="G339" s="136"/>
      <c r="H339" s="136"/>
      <c r="I339" s="136"/>
      <c r="J339" s="136"/>
      <c r="K339" s="136"/>
      <c r="L339" s="136"/>
      <c r="M339" s="136"/>
      <c r="N339" s="136"/>
      <c r="O339" s="136"/>
      <c r="P339" s="136"/>
      <c r="Q339" s="136"/>
      <c r="R339" s="136"/>
      <c r="S339" s="136"/>
      <c r="T339" s="136"/>
      <c r="U339" s="136"/>
    </row>
    <row r="340" ht="15.75" customHeight="1">
      <c r="A340" s="160"/>
      <c r="B340" s="136"/>
      <c r="C340" s="136"/>
      <c r="D340" s="136"/>
      <c r="E340" s="136"/>
      <c r="F340" s="136"/>
      <c r="G340" s="136"/>
      <c r="H340" s="136"/>
      <c r="I340" s="136"/>
      <c r="J340" s="136"/>
      <c r="K340" s="136"/>
      <c r="L340" s="136"/>
      <c r="M340" s="136"/>
      <c r="N340" s="136"/>
      <c r="O340" s="136"/>
      <c r="P340" s="136"/>
      <c r="Q340" s="136"/>
      <c r="R340" s="136"/>
      <c r="S340" s="136"/>
      <c r="T340" s="136"/>
      <c r="U340" s="136"/>
    </row>
    <row r="341" ht="15.75" customHeight="1">
      <c r="A341" s="160"/>
      <c r="B341" s="136"/>
      <c r="C341" s="136"/>
      <c r="D341" s="136"/>
      <c r="E341" s="136"/>
      <c r="F341" s="136"/>
      <c r="G341" s="136"/>
      <c r="H341" s="136"/>
      <c r="I341" s="136"/>
      <c r="J341" s="136"/>
      <c r="K341" s="136"/>
      <c r="L341" s="136"/>
      <c r="M341" s="136"/>
      <c r="N341" s="136"/>
      <c r="O341" s="136"/>
      <c r="P341" s="136"/>
      <c r="Q341" s="136"/>
      <c r="R341" s="136"/>
      <c r="S341" s="136"/>
      <c r="T341" s="136"/>
      <c r="U341" s="136"/>
    </row>
    <row r="342" ht="15.75" customHeight="1">
      <c r="A342" s="160"/>
      <c r="B342" s="136"/>
      <c r="C342" s="136"/>
      <c r="D342" s="136"/>
      <c r="E342" s="136"/>
      <c r="F342" s="136"/>
      <c r="G342" s="136"/>
      <c r="H342" s="136"/>
      <c r="I342" s="136"/>
      <c r="J342" s="136"/>
      <c r="K342" s="136"/>
      <c r="L342" s="136"/>
      <c r="M342" s="136"/>
      <c r="N342" s="136"/>
      <c r="O342" s="136"/>
      <c r="P342" s="136"/>
      <c r="Q342" s="136"/>
      <c r="R342" s="136"/>
      <c r="S342" s="136"/>
      <c r="T342" s="136"/>
      <c r="U342" s="136"/>
    </row>
    <row r="343" ht="15.75" customHeight="1">
      <c r="A343" s="160"/>
      <c r="B343" s="136"/>
      <c r="C343" s="136"/>
      <c r="D343" s="136"/>
      <c r="E343" s="136"/>
      <c r="F343" s="136"/>
      <c r="G343" s="136"/>
      <c r="H343" s="136"/>
      <c r="I343" s="136"/>
      <c r="J343" s="136"/>
      <c r="K343" s="136"/>
      <c r="L343" s="136"/>
      <c r="M343" s="136"/>
      <c r="N343" s="136"/>
      <c r="O343" s="136"/>
      <c r="P343" s="136"/>
      <c r="Q343" s="136"/>
      <c r="R343" s="136"/>
      <c r="S343" s="136"/>
      <c r="T343" s="136"/>
      <c r="U343" s="136"/>
    </row>
    <row r="344" ht="15.75" customHeight="1">
      <c r="A344" s="160"/>
      <c r="B344" s="136"/>
      <c r="C344" s="136"/>
      <c r="D344" s="136"/>
      <c r="E344" s="136"/>
      <c r="F344" s="136"/>
      <c r="G344" s="136"/>
      <c r="H344" s="136"/>
      <c r="I344" s="136"/>
      <c r="J344" s="136"/>
      <c r="K344" s="136"/>
      <c r="L344" s="136"/>
      <c r="M344" s="136"/>
      <c r="N344" s="136"/>
      <c r="O344" s="136"/>
      <c r="P344" s="136"/>
      <c r="Q344" s="136"/>
      <c r="R344" s="136"/>
      <c r="S344" s="136"/>
      <c r="T344" s="136"/>
      <c r="U344" s="136"/>
    </row>
    <row r="345" ht="15.75" customHeight="1">
      <c r="A345" s="160"/>
      <c r="B345" s="136"/>
      <c r="C345" s="136"/>
      <c r="D345" s="136"/>
      <c r="E345" s="136"/>
      <c r="F345" s="136"/>
      <c r="G345" s="136"/>
      <c r="H345" s="136"/>
      <c r="I345" s="136"/>
      <c r="J345" s="136"/>
      <c r="K345" s="136"/>
      <c r="L345" s="136"/>
      <c r="M345" s="136"/>
      <c r="N345" s="136"/>
      <c r="O345" s="136"/>
      <c r="P345" s="136"/>
      <c r="Q345" s="136"/>
      <c r="R345" s="136"/>
      <c r="S345" s="136"/>
      <c r="T345" s="136"/>
      <c r="U345" s="136"/>
    </row>
    <row r="346" ht="15.75" customHeight="1">
      <c r="A346" s="160"/>
      <c r="B346" s="136"/>
      <c r="C346" s="136"/>
      <c r="D346" s="136"/>
      <c r="E346" s="136"/>
      <c r="F346" s="136"/>
      <c r="G346" s="136"/>
      <c r="H346" s="136"/>
      <c r="I346" s="136"/>
      <c r="J346" s="136"/>
      <c r="K346" s="136"/>
      <c r="L346" s="136"/>
      <c r="M346" s="136"/>
      <c r="N346" s="136"/>
      <c r="O346" s="136"/>
      <c r="P346" s="136"/>
      <c r="Q346" s="136"/>
      <c r="R346" s="136"/>
      <c r="S346" s="136"/>
      <c r="T346" s="136"/>
      <c r="U346" s="136"/>
    </row>
    <row r="347" ht="15.75" customHeight="1">
      <c r="A347" s="160"/>
      <c r="B347" s="136"/>
      <c r="C347" s="136"/>
      <c r="D347" s="136"/>
      <c r="E347" s="136"/>
      <c r="F347" s="136"/>
      <c r="G347" s="136"/>
      <c r="H347" s="136"/>
      <c r="I347" s="136"/>
      <c r="J347" s="136"/>
      <c r="K347" s="136"/>
      <c r="L347" s="136"/>
      <c r="M347" s="136"/>
      <c r="N347" s="136"/>
      <c r="O347" s="136"/>
      <c r="P347" s="136"/>
      <c r="Q347" s="136"/>
      <c r="R347" s="136"/>
      <c r="S347" s="136"/>
      <c r="T347" s="136"/>
      <c r="U347" s="136"/>
    </row>
    <row r="348" ht="15.75" customHeight="1">
      <c r="A348" s="160"/>
      <c r="B348" s="136"/>
      <c r="C348" s="136"/>
      <c r="D348" s="136"/>
      <c r="E348" s="136"/>
      <c r="F348" s="136"/>
      <c r="G348" s="136"/>
      <c r="H348" s="136"/>
      <c r="I348" s="136"/>
      <c r="J348" s="136"/>
      <c r="K348" s="136"/>
      <c r="L348" s="136"/>
      <c r="M348" s="136"/>
      <c r="N348" s="136"/>
      <c r="O348" s="136"/>
      <c r="P348" s="136"/>
      <c r="Q348" s="136"/>
      <c r="R348" s="136"/>
      <c r="S348" s="136"/>
      <c r="T348" s="136"/>
      <c r="U348" s="136"/>
    </row>
    <row r="349" ht="15.75" customHeight="1">
      <c r="A349" s="160"/>
      <c r="B349" s="136"/>
      <c r="C349" s="136"/>
      <c r="D349" s="136"/>
      <c r="E349" s="136"/>
      <c r="F349" s="136"/>
      <c r="G349" s="136"/>
      <c r="H349" s="136"/>
      <c r="I349" s="136"/>
      <c r="J349" s="136"/>
      <c r="K349" s="136"/>
      <c r="L349" s="136"/>
      <c r="M349" s="136"/>
      <c r="N349" s="136"/>
      <c r="O349" s="136"/>
      <c r="P349" s="136"/>
      <c r="Q349" s="136"/>
      <c r="R349" s="136"/>
      <c r="S349" s="136"/>
      <c r="T349" s="136"/>
      <c r="U349" s="136"/>
    </row>
    <row r="350" ht="15.75" customHeight="1">
      <c r="A350" s="160"/>
      <c r="B350" s="136"/>
      <c r="C350" s="136"/>
      <c r="D350" s="136"/>
      <c r="E350" s="136"/>
      <c r="F350" s="136"/>
      <c r="G350" s="136"/>
      <c r="H350" s="136"/>
      <c r="I350" s="136"/>
      <c r="J350" s="136"/>
      <c r="K350" s="136"/>
      <c r="L350" s="136"/>
      <c r="M350" s="136"/>
      <c r="N350" s="136"/>
      <c r="O350" s="136"/>
      <c r="P350" s="136"/>
      <c r="Q350" s="136"/>
      <c r="R350" s="136"/>
      <c r="S350" s="136"/>
      <c r="T350" s="136"/>
      <c r="U350" s="136"/>
    </row>
    <row r="351" ht="15.75" customHeight="1">
      <c r="A351" s="160"/>
      <c r="B351" s="136"/>
      <c r="C351" s="136"/>
      <c r="D351" s="136"/>
      <c r="E351" s="136"/>
      <c r="F351" s="136"/>
      <c r="G351" s="136"/>
      <c r="H351" s="136"/>
      <c r="I351" s="136"/>
      <c r="J351" s="136"/>
      <c r="K351" s="136"/>
      <c r="L351" s="136"/>
      <c r="M351" s="136"/>
      <c r="N351" s="136"/>
      <c r="O351" s="136"/>
      <c r="P351" s="136"/>
      <c r="Q351" s="136"/>
      <c r="R351" s="136"/>
      <c r="S351" s="136"/>
      <c r="T351" s="136"/>
      <c r="U351" s="136"/>
    </row>
    <row r="352" ht="15.75" customHeight="1">
      <c r="A352" s="160"/>
      <c r="B352" s="136"/>
      <c r="C352" s="136"/>
      <c r="D352" s="136"/>
      <c r="E352" s="136"/>
      <c r="F352" s="136"/>
      <c r="G352" s="136"/>
      <c r="H352" s="136"/>
      <c r="I352" s="136"/>
      <c r="J352" s="136"/>
      <c r="K352" s="136"/>
      <c r="L352" s="136"/>
      <c r="M352" s="136"/>
      <c r="N352" s="136"/>
      <c r="O352" s="136"/>
      <c r="P352" s="136"/>
      <c r="Q352" s="136"/>
      <c r="R352" s="136"/>
      <c r="S352" s="136"/>
      <c r="T352" s="136"/>
      <c r="U352" s="136"/>
    </row>
    <row r="353" ht="15.75" customHeight="1">
      <c r="A353" s="160"/>
      <c r="B353" s="136"/>
      <c r="C353" s="136"/>
      <c r="D353" s="136"/>
      <c r="E353" s="136"/>
      <c r="F353" s="136"/>
      <c r="G353" s="136"/>
      <c r="H353" s="136"/>
      <c r="I353" s="136"/>
      <c r="J353" s="136"/>
      <c r="K353" s="136"/>
      <c r="L353" s="136"/>
      <c r="M353" s="136"/>
      <c r="N353" s="136"/>
      <c r="O353" s="136"/>
      <c r="P353" s="136"/>
      <c r="Q353" s="136"/>
      <c r="R353" s="136"/>
      <c r="S353" s="136"/>
      <c r="T353" s="136"/>
      <c r="U353" s="136"/>
    </row>
    <row r="354" ht="15.75" customHeight="1">
      <c r="A354" s="160"/>
      <c r="B354" s="136"/>
      <c r="C354" s="136"/>
      <c r="D354" s="136"/>
      <c r="E354" s="136"/>
      <c r="F354" s="136"/>
      <c r="G354" s="136"/>
      <c r="H354" s="136"/>
      <c r="I354" s="136"/>
      <c r="J354" s="136"/>
      <c r="K354" s="136"/>
      <c r="L354" s="136"/>
      <c r="M354" s="136"/>
      <c r="N354" s="136"/>
      <c r="O354" s="136"/>
      <c r="P354" s="136"/>
      <c r="Q354" s="136"/>
      <c r="R354" s="136"/>
      <c r="S354" s="136"/>
      <c r="T354" s="136"/>
      <c r="U354" s="136"/>
    </row>
    <row r="355" ht="15.75" customHeight="1">
      <c r="A355" s="160"/>
      <c r="B355" s="136"/>
      <c r="C355" s="136"/>
      <c r="D355" s="136"/>
      <c r="E355" s="136"/>
      <c r="F355" s="136"/>
      <c r="G355" s="136"/>
      <c r="H355" s="136"/>
      <c r="I355" s="136"/>
      <c r="J355" s="136"/>
      <c r="K355" s="136"/>
      <c r="L355" s="136"/>
      <c r="M355" s="136"/>
      <c r="N355" s="136"/>
      <c r="O355" s="136"/>
      <c r="P355" s="136"/>
      <c r="Q355" s="136"/>
      <c r="R355" s="136"/>
      <c r="S355" s="136"/>
      <c r="T355" s="136"/>
      <c r="U355" s="136"/>
    </row>
    <row r="356" ht="15.75" customHeight="1">
      <c r="A356" s="160"/>
      <c r="B356" s="136"/>
      <c r="C356" s="136"/>
      <c r="D356" s="136"/>
      <c r="E356" s="136"/>
      <c r="F356" s="136"/>
      <c r="G356" s="136"/>
      <c r="H356" s="136"/>
      <c r="I356" s="136"/>
      <c r="J356" s="136"/>
      <c r="K356" s="136"/>
      <c r="L356" s="136"/>
      <c r="M356" s="136"/>
      <c r="N356" s="136"/>
      <c r="O356" s="136"/>
      <c r="P356" s="136"/>
      <c r="Q356" s="136"/>
      <c r="R356" s="136"/>
      <c r="S356" s="136"/>
      <c r="T356" s="136"/>
      <c r="U356" s="136"/>
    </row>
    <row r="357" ht="15.75" customHeight="1">
      <c r="A357" s="160"/>
      <c r="B357" s="136"/>
      <c r="C357" s="136"/>
      <c r="D357" s="136"/>
      <c r="E357" s="136"/>
      <c r="F357" s="136"/>
      <c r="G357" s="136"/>
      <c r="H357" s="136"/>
      <c r="I357" s="136"/>
      <c r="J357" s="136"/>
      <c r="K357" s="136"/>
      <c r="L357" s="136"/>
      <c r="M357" s="136"/>
      <c r="N357" s="136"/>
      <c r="O357" s="136"/>
      <c r="P357" s="136"/>
      <c r="Q357" s="136"/>
      <c r="R357" s="136"/>
      <c r="S357" s="136"/>
      <c r="T357" s="136"/>
      <c r="U357" s="136"/>
    </row>
    <row r="358" ht="15.75" customHeight="1">
      <c r="A358" s="160"/>
      <c r="B358" s="136"/>
      <c r="C358" s="136"/>
      <c r="D358" s="136"/>
      <c r="E358" s="136"/>
      <c r="F358" s="136"/>
      <c r="G358" s="136"/>
      <c r="H358" s="136"/>
      <c r="I358" s="136"/>
      <c r="J358" s="136"/>
      <c r="K358" s="136"/>
      <c r="L358" s="136"/>
      <c r="M358" s="136"/>
      <c r="N358" s="136"/>
      <c r="O358" s="136"/>
      <c r="P358" s="136"/>
      <c r="Q358" s="136"/>
      <c r="R358" s="136"/>
      <c r="S358" s="136"/>
      <c r="T358" s="136"/>
      <c r="U358" s="136"/>
    </row>
    <row r="359" ht="15.75" customHeight="1">
      <c r="A359" s="160"/>
      <c r="B359" s="136"/>
      <c r="C359" s="136"/>
      <c r="D359" s="136"/>
      <c r="E359" s="136"/>
      <c r="F359" s="136"/>
      <c r="G359" s="136"/>
      <c r="H359" s="136"/>
      <c r="I359" s="136"/>
      <c r="J359" s="136"/>
      <c r="K359" s="136"/>
      <c r="L359" s="136"/>
      <c r="M359" s="136"/>
      <c r="N359" s="136"/>
      <c r="O359" s="136"/>
      <c r="P359" s="136"/>
      <c r="Q359" s="136"/>
      <c r="R359" s="136"/>
      <c r="S359" s="136"/>
      <c r="T359" s="136"/>
      <c r="U359" s="136"/>
    </row>
    <row r="360" ht="15.75" customHeight="1">
      <c r="A360" s="160"/>
      <c r="B360" s="136"/>
      <c r="C360" s="136"/>
      <c r="D360" s="136"/>
      <c r="E360" s="136"/>
      <c r="F360" s="136"/>
      <c r="G360" s="136"/>
      <c r="H360" s="136"/>
      <c r="I360" s="136"/>
      <c r="J360" s="136"/>
      <c r="K360" s="136"/>
      <c r="L360" s="136"/>
      <c r="M360" s="136"/>
      <c r="N360" s="136"/>
      <c r="O360" s="136"/>
      <c r="P360" s="136"/>
      <c r="Q360" s="136"/>
      <c r="R360" s="136"/>
      <c r="S360" s="136"/>
      <c r="T360" s="136"/>
      <c r="U360" s="136"/>
    </row>
    <row r="361" ht="15.75" customHeight="1">
      <c r="A361" s="160"/>
      <c r="B361" s="136"/>
      <c r="C361" s="136"/>
      <c r="D361" s="136"/>
      <c r="E361" s="136"/>
      <c r="F361" s="136"/>
      <c r="G361" s="136"/>
      <c r="H361" s="136"/>
      <c r="I361" s="136"/>
      <c r="J361" s="136"/>
      <c r="K361" s="136"/>
      <c r="L361" s="136"/>
      <c r="M361" s="136"/>
      <c r="N361" s="136"/>
      <c r="O361" s="136"/>
      <c r="P361" s="136"/>
      <c r="Q361" s="136"/>
      <c r="R361" s="136"/>
      <c r="S361" s="136"/>
      <c r="T361" s="136"/>
      <c r="U361" s="136"/>
    </row>
    <row r="362" ht="15.75" customHeight="1">
      <c r="A362" s="160"/>
      <c r="B362" s="136"/>
      <c r="C362" s="136"/>
      <c r="D362" s="136"/>
      <c r="E362" s="136"/>
      <c r="F362" s="136"/>
      <c r="G362" s="136"/>
      <c r="H362" s="136"/>
      <c r="I362" s="136"/>
      <c r="J362" s="136"/>
      <c r="K362" s="136"/>
      <c r="L362" s="136"/>
      <c r="M362" s="136"/>
      <c r="N362" s="136"/>
      <c r="O362" s="136"/>
      <c r="P362" s="136"/>
      <c r="Q362" s="136"/>
      <c r="R362" s="136"/>
      <c r="S362" s="136"/>
      <c r="T362" s="136"/>
      <c r="U362" s="136"/>
    </row>
    <row r="363" ht="15.75" customHeight="1">
      <c r="A363" s="160"/>
      <c r="B363" s="136"/>
      <c r="C363" s="136"/>
      <c r="D363" s="136"/>
      <c r="E363" s="136"/>
      <c r="F363" s="136"/>
      <c r="G363" s="136"/>
      <c r="H363" s="136"/>
      <c r="I363" s="136"/>
      <c r="J363" s="136"/>
      <c r="K363" s="136"/>
      <c r="L363" s="136"/>
      <c r="M363" s="136"/>
      <c r="N363" s="136"/>
      <c r="O363" s="136"/>
      <c r="P363" s="136"/>
      <c r="Q363" s="136"/>
      <c r="R363" s="136"/>
      <c r="S363" s="136"/>
      <c r="T363" s="136"/>
      <c r="U363" s="136"/>
    </row>
    <row r="364" ht="15.75" customHeight="1">
      <c r="A364" s="160"/>
      <c r="B364" s="136"/>
      <c r="C364" s="136"/>
      <c r="D364" s="136"/>
      <c r="E364" s="136"/>
      <c r="F364" s="136"/>
      <c r="G364" s="136"/>
      <c r="H364" s="136"/>
      <c r="I364" s="136"/>
      <c r="J364" s="136"/>
      <c r="K364" s="136"/>
      <c r="L364" s="136"/>
      <c r="M364" s="136"/>
      <c r="N364" s="136"/>
      <c r="O364" s="136"/>
      <c r="P364" s="136"/>
      <c r="Q364" s="136"/>
      <c r="R364" s="136"/>
      <c r="S364" s="136"/>
      <c r="T364" s="136"/>
      <c r="U364" s="136"/>
    </row>
    <row r="365" ht="15.75" customHeight="1">
      <c r="A365" s="160"/>
      <c r="B365" s="136"/>
      <c r="C365" s="136"/>
      <c r="D365" s="136"/>
      <c r="E365" s="136"/>
      <c r="F365" s="136"/>
      <c r="G365" s="136"/>
      <c r="H365" s="136"/>
      <c r="I365" s="136"/>
      <c r="J365" s="136"/>
      <c r="K365" s="136"/>
      <c r="L365" s="136"/>
      <c r="M365" s="136"/>
      <c r="N365" s="136"/>
      <c r="O365" s="136"/>
      <c r="P365" s="136"/>
      <c r="Q365" s="136"/>
      <c r="R365" s="136"/>
      <c r="S365" s="136"/>
      <c r="T365" s="136"/>
      <c r="U365" s="136"/>
    </row>
    <row r="366" ht="15.75" customHeight="1">
      <c r="A366" s="160"/>
      <c r="B366" s="136"/>
      <c r="C366" s="136"/>
      <c r="D366" s="136"/>
      <c r="E366" s="136"/>
      <c r="F366" s="136"/>
      <c r="G366" s="136"/>
      <c r="H366" s="136"/>
      <c r="I366" s="136"/>
      <c r="J366" s="136"/>
      <c r="K366" s="136"/>
      <c r="L366" s="136"/>
      <c r="M366" s="136"/>
      <c r="N366" s="136"/>
      <c r="O366" s="136"/>
      <c r="P366" s="136"/>
      <c r="Q366" s="136"/>
      <c r="R366" s="136"/>
      <c r="S366" s="136"/>
      <c r="T366" s="136"/>
      <c r="U366" s="136"/>
    </row>
    <row r="367" ht="15.75" customHeight="1">
      <c r="A367" s="160"/>
      <c r="B367" s="136"/>
      <c r="C367" s="136"/>
      <c r="D367" s="136"/>
      <c r="E367" s="136"/>
      <c r="F367" s="136"/>
      <c r="G367" s="136"/>
      <c r="H367" s="136"/>
      <c r="I367" s="136"/>
      <c r="J367" s="136"/>
      <c r="K367" s="136"/>
      <c r="L367" s="136"/>
      <c r="M367" s="136"/>
      <c r="N367" s="136"/>
      <c r="O367" s="136"/>
      <c r="P367" s="136"/>
      <c r="Q367" s="136"/>
      <c r="R367" s="136"/>
      <c r="S367" s="136"/>
      <c r="T367" s="136"/>
      <c r="U367" s="136"/>
    </row>
    <row r="368" ht="15.75" customHeight="1">
      <c r="A368" s="160"/>
      <c r="B368" s="136"/>
      <c r="C368" s="136"/>
      <c r="D368" s="136"/>
      <c r="E368" s="136"/>
      <c r="F368" s="136"/>
      <c r="G368" s="136"/>
      <c r="H368" s="136"/>
      <c r="I368" s="136"/>
      <c r="J368" s="136"/>
      <c r="K368" s="136"/>
      <c r="L368" s="136"/>
      <c r="M368" s="136"/>
      <c r="N368" s="136"/>
      <c r="O368" s="136"/>
      <c r="P368" s="136"/>
      <c r="Q368" s="136"/>
      <c r="R368" s="136"/>
      <c r="S368" s="136"/>
      <c r="T368" s="136"/>
      <c r="U368" s="136"/>
    </row>
    <row r="369" ht="15.75" customHeight="1">
      <c r="A369" s="160"/>
      <c r="B369" s="136"/>
      <c r="C369" s="136"/>
      <c r="D369" s="136"/>
      <c r="E369" s="136"/>
      <c r="F369" s="136"/>
      <c r="G369" s="136"/>
      <c r="H369" s="136"/>
      <c r="I369" s="136"/>
      <c r="J369" s="136"/>
      <c r="K369" s="136"/>
      <c r="L369" s="136"/>
      <c r="M369" s="136"/>
      <c r="N369" s="136"/>
      <c r="O369" s="136"/>
      <c r="P369" s="136"/>
      <c r="Q369" s="136"/>
      <c r="R369" s="136"/>
      <c r="S369" s="136"/>
      <c r="T369" s="136"/>
      <c r="U369" s="136"/>
    </row>
    <row r="370" ht="15.75" customHeight="1">
      <c r="A370" s="160"/>
      <c r="B370" s="136"/>
      <c r="C370" s="136"/>
      <c r="D370" s="136"/>
      <c r="E370" s="136"/>
      <c r="F370" s="136"/>
      <c r="G370" s="136"/>
      <c r="H370" s="136"/>
      <c r="I370" s="136"/>
      <c r="J370" s="136"/>
      <c r="K370" s="136"/>
      <c r="L370" s="136"/>
      <c r="M370" s="136"/>
      <c r="N370" s="136"/>
      <c r="O370" s="136"/>
      <c r="P370" s="136"/>
      <c r="Q370" s="136"/>
      <c r="R370" s="136"/>
      <c r="S370" s="136"/>
      <c r="T370" s="136"/>
      <c r="U370" s="136"/>
    </row>
    <row r="371" ht="15.75" customHeight="1">
      <c r="A371" s="160"/>
      <c r="B371" s="136"/>
      <c r="C371" s="136"/>
      <c r="D371" s="136"/>
      <c r="E371" s="136"/>
      <c r="F371" s="136"/>
      <c r="G371" s="136"/>
      <c r="H371" s="136"/>
      <c r="I371" s="136"/>
      <c r="J371" s="136"/>
      <c r="K371" s="136"/>
      <c r="L371" s="136"/>
      <c r="M371" s="136"/>
      <c r="N371" s="136"/>
      <c r="O371" s="136"/>
      <c r="P371" s="136"/>
      <c r="Q371" s="136"/>
      <c r="R371" s="136"/>
      <c r="S371" s="136"/>
      <c r="T371" s="136"/>
      <c r="U371" s="136"/>
    </row>
    <row r="372" ht="15.75" customHeight="1">
      <c r="A372" s="160"/>
      <c r="B372" s="136"/>
      <c r="C372" s="136"/>
      <c r="D372" s="136"/>
      <c r="E372" s="136"/>
      <c r="F372" s="136"/>
      <c r="G372" s="136"/>
      <c r="H372" s="136"/>
      <c r="I372" s="136"/>
      <c r="J372" s="136"/>
      <c r="K372" s="136"/>
      <c r="L372" s="136"/>
      <c r="M372" s="136"/>
      <c r="N372" s="136"/>
      <c r="O372" s="136"/>
      <c r="P372" s="136"/>
      <c r="Q372" s="136"/>
      <c r="R372" s="136"/>
      <c r="S372" s="136"/>
      <c r="T372" s="136"/>
      <c r="U372" s="136"/>
    </row>
    <row r="373" ht="15.75" customHeight="1">
      <c r="A373" s="160"/>
      <c r="B373" s="136"/>
      <c r="C373" s="136"/>
      <c r="D373" s="136"/>
      <c r="E373" s="136"/>
      <c r="F373" s="136"/>
      <c r="G373" s="136"/>
      <c r="H373" s="136"/>
      <c r="I373" s="136"/>
      <c r="J373" s="136"/>
      <c r="K373" s="136"/>
      <c r="L373" s="136"/>
      <c r="M373" s="136"/>
      <c r="N373" s="136"/>
      <c r="O373" s="136"/>
      <c r="P373" s="136"/>
      <c r="Q373" s="136"/>
      <c r="R373" s="136"/>
      <c r="S373" s="136"/>
      <c r="T373" s="136"/>
      <c r="U373" s="136"/>
    </row>
    <row r="374" ht="15.75" customHeight="1">
      <c r="A374" s="160"/>
      <c r="B374" s="136"/>
      <c r="C374" s="136"/>
      <c r="D374" s="136"/>
      <c r="E374" s="136"/>
      <c r="F374" s="136"/>
      <c r="G374" s="136"/>
      <c r="H374" s="136"/>
      <c r="I374" s="136"/>
      <c r="J374" s="136"/>
      <c r="K374" s="136"/>
      <c r="L374" s="136"/>
      <c r="M374" s="136"/>
      <c r="N374" s="136"/>
      <c r="O374" s="136"/>
      <c r="P374" s="136"/>
      <c r="Q374" s="136"/>
      <c r="R374" s="136"/>
      <c r="S374" s="136"/>
      <c r="T374" s="136"/>
      <c r="U374" s="136"/>
    </row>
    <row r="375" ht="15.75" customHeight="1">
      <c r="A375" s="160"/>
      <c r="B375" s="136"/>
      <c r="C375" s="136"/>
      <c r="D375" s="136"/>
      <c r="E375" s="136"/>
      <c r="F375" s="136"/>
      <c r="G375" s="136"/>
      <c r="H375" s="136"/>
      <c r="I375" s="136"/>
      <c r="J375" s="136"/>
      <c r="K375" s="136"/>
      <c r="L375" s="136"/>
      <c r="M375" s="136"/>
      <c r="N375" s="136"/>
      <c r="O375" s="136"/>
      <c r="P375" s="136"/>
      <c r="Q375" s="136"/>
      <c r="R375" s="136"/>
      <c r="S375" s="136"/>
      <c r="T375" s="136"/>
      <c r="U375" s="136"/>
    </row>
    <row r="376" ht="15.75" customHeight="1">
      <c r="A376" s="160"/>
      <c r="B376" s="136"/>
      <c r="C376" s="136"/>
      <c r="D376" s="136"/>
      <c r="E376" s="136"/>
      <c r="F376" s="136"/>
      <c r="G376" s="136"/>
      <c r="H376" s="136"/>
      <c r="I376" s="136"/>
      <c r="J376" s="136"/>
      <c r="K376" s="136"/>
      <c r="L376" s="136"/>
      <c r="M376" s="136"/>
      <c r="N376" s="136"/>
      <c r="O376" s="136"/>
      <c r="P376" s="136"/>
      <c r="Q376" s="136"/>
      <c r="R376" s="136"/>
      <c r="S376" s="136"/>
      <c r="T376" s="136"/>
      <c r="U376" s="136"/>
    </row>
    <row r="377" ht="15.75" customHeight="1">
      <c r="A377" s="160"/>
      <c r="B377" s="136"/>
      <c r="C377" s="136"/>
      <c r="D377" s="136"/>
      <c r="E377" s="136"/>
      <c r="F377" s="136"/>
      <c r="G377" s="136"/>
      <c r="H377" s="136"/>
      <c r="I377" s="136"/>
      <c r="J377" s="136"/>
      <c r="K377" s="136"/>
      <c r="L377" s="136"/>
      <c r="M377" s="136"/>
      <c r="N377" s="136"/>
      <c r="O377" s="136"/>
      <c r="P377" s="136"/>
      <c r="Q377" s="136"/>
      <c r="R377" s="136"/>
      <c r="S377" s="136"/>
      <c r="T377" s="136"/>
      <c r="U377" s="136"/>
    </row>
    <row r="378" ht="15.75" customHeight="1">
      <c r="A378" s="160"/>
      <c r="B378" s="136"/>
      <c r="C378" s="136"/>
      <c r="D378" s="136"/>
      <c r="E378" s="136"/>
      <c r="F378" s="136"/>
      <c r="G378" s="136"/>
      <c r="H378" s="136"/>
      <c r="I378" s="136"/>
      <c r="J378" s="136"/>
      <c r="K378" s="136"/>
      <c r="L378" s="136"/>
      <c r="M378" s="136"/>
      <c r="N378" s="136"/>
      <c r="O378" s="136"/>
      <c r="P378" s="136"/>
      <c r="Q378" s="136"/>
      <c r="R378" s="136"/>
      <c r="S378" s="136"/>
      <c r="T378" s="136"/>
      <c r="U378" s="136"/>
    </row>
    <row r="379" ht="15.75" customHeight="1">
      <c r="A379" s="160"/>
      <c r="B379" s="136"/>
      <c r="C379" s="136"/>
      <c r="D379" s="136"/>
      <c r="E379" s="136"/>
      <c r="F379" s="136"/>
      <c r="G379" s="136"/>
      <c r="H379" s="136"/>
      <c r="I379" s="136"/>
      <c r="J379" s="136"/>
      <c r="K379" s="136"/>
      <c r="L379" s="136"/>
      <c r="M379" s="136"/>
      <c r="N379" s="136"/>
      <c r="O379" s="136"/>
      <c r="P379" s="136"/>
      <c r="Q379" s="136"/>
      <c r="R379" s="136"/>
      <c r="S379" s="136"/>
      <c r="T379" s="136"/>
      <c r="U379" s="136"/>
    </row>
    <row r="380" ht="15.75" customHeight="1">
      <c r="A380" s="160"/>
      <c r="B380" s="136"/>
      <c r="C380" s="136"/>
      <c r="D380" s="136"/>
      <c r="E380" s="136"/>
      <c r="F380" s="136"/>
      <c r="G380" s="136"/>
      <c r="H380" s="136"/>
      <c r="I380" s="136"/>
      <c r="J380" s="136"/>
      <c r="K380" s="136"/>
      <c r="L380" s="136"/>
      <c r="M380" s="136"/>
      <c r="N380" s="136"/>
      <c r="O380" s="136"/>
      <c r="P380" s="136"/>
      <c r="Q380" s="136"/>
      <c r="R380" s="136"/>
      <c r="S380" s="136"/>
      <c r="T380" s="136"/>
      <c r="U380" s="136"/>
    </row>
    <row r="381" ht="15.75" customHeight="1">
      <c r="A381" s="160"/>
      <c r="B381" s="136"/>
      <c r="C381" s="136"/>
      <c r="D381" s="136"/>
      <c r="E381" s="136"/>
      <c r="F381" s="136"/>
      <c r="G381" s="136"/>
      <c r="H381" s="136"/>
      <c r="I381" s="136"/>
      <c r="J381" s="136"/>
      <c r="K381" s="136"/>
      <c r="L381" s="136"/>
      <c r="M381" s="136"/>
      <c r="N381" s="136"/>
      <c r="O381" s="136"/>
      <c r="P381" s="136"/>
      <c r="Q381" s="136"/>
      <c r="R381" s="136"/>
      <c r="S381" s="136"/>
      <c r="T381" s="136"/>
      <c r="U381" s="136"/>
    </row>
    <row r="382" ht="15.75" customHeight="1">
      <c r="A382" s="160"/>
      <c r="B382" s="136"/>
      <c r="C382" s="136"/>
      <c r="D382" s="136"/>
      <c r="E382" s="136"/>
      <c r="F382" s="136"/>
      <c r="G382" s="136"/>
      <c r="H382" s="136"/>
      <c r="I382" s="136"/>
      <c r="J382" s="136"/>
      <c r="K382" s="136"/>
      <c r="L382" s="136"/>
      <c r="M382" s="136"/>
      <c r="N382" s="136"/>
      <c r="O382" s="136"/>
      <c r="P382" s="136"/>
      <c r="Q382" s="136"/>
      <c r="R382" s="136"/>
      <c r="S382" s="136"/>
      <c r="T382" s="136"/>
      <c r="U382" s="136"/>
    </row>
    <row r="383" ht="15.75" customHeight="1">
      <c r="A383" s="160"/>
      <c r="B383" s="136"/>
      <c r="C383" s="136"/>
      <c r="D383" s="136"/>
      <c r="E383" s="136"/>
      <c r="F383" s="136"/>
      <c r="G383" s="136"/>
      <c r="H383" s="136"/>
      <c r="I383" s="136"/>
      <c r="J383" s="136"/>
      <c r="K383" s="136"/>
      <c r="L383" s="136"/>
      <c r="M383" s="136"/>
      <c r="N383" s="136"/>
      <c r="O383" s="136"/>
      <c r="P383" s="136"/>
      <c r="Q383" s="136"/>
      <c r="R383" s="136"/>
      <c r="S383" s="136"/>
      <c r="T383" s="136"/>
      <c r="U383" s="136"/>
    </row>
    <row r="384" ht="15.75" customHeight="1">
      <c r="A384" s="160"/>
      <c r="B384" s="136"/>
      <c r="C384" s="136"/>
      <c r="D384" s="136"/>
      <c r="E384" s="136"/>
      <c r="F384" s="136"/>
      <c r="G384" s="136"/>
      <c r="H384" s="136"/>
      <c r="I384" s="136"/>
      <c r="J384" s="136"/>
      <c r="K384" s="136"/>
      <c r="L384" s="136"/>
      <c r="M384" s="136"/>
      <c r="N384" s="136"/>
      <c r="O384" s="136"/>
      <c r="P384" s="136"/>
      <c r="Q384" s="136"/>
      <c r="R384" s="136"/>
      <c r="S384" s="136"/>
      <c r="T384" s="136"/>
      <c r="U384" s="136"/>
    </row>
    <row r="385" ht="15.75" customHeight="1">
      <c r="A385" s="160"/>
      <c r="B385" s="136"/>
      <c r="C385" s="136"/>
      <c r="D385" s="136"/>
      <c r="E385" s="136"/>
      <c r="F385" s="136"/>
      <c r="G385" s="136"/>
      <c r="H385" s="136"/>
      <c r="I385" s="136"/>
      <c r="J385" s="136"/>
      <c r="K385" s="136"/>
      <c r="L385" s="136"/>
      <c r="M385" s="136"/>
      <c r="N385" s="136"/>
      <c r="O385" s="136"/>
      <c r="P385" s="136"/>
      <c r="Q385" s="136"/>
      <c r="R385" s="136"/>
      <c r="S385" s="136"/>
      <c r="T385" s="136"/>
      <c r="U385" s="136"/>
    </row>
    <row r="386" ht="15.75" customHeight="1">
      <c r="A386" s="160"/>
      <c r="B386" s="136"/>
      <c r="C386" s="136"/>
      <c r="D386" s="136"/>
      <c r="E386" s="136"/>
      <c r="F386" s="136"/>
      <c r="G386" s="136"/>
      <c r="H386" s="136"/>
      <c r="I386" s="136"/>
      <c r="J386" s="136"/>
      <c r="K386" s="136"/>
      <c r="L386" s="136"/>
      <c r="M386" s="136"/>
      <c r="N386" s="136"/>
      <c r="O386" s="136"/>
      <c r="P386" s="136"/>
      <c r="Q386" s="136"/>
      <c r="R386" s="136"/>
      <c r="S386" s="136"/>
      <c r="T386" s="136"/>
      <c r="U386" s="136"/>
    </row>
    <row r="387" ht="15.75" customHeight="1">
      <c r="A387" s="160"/>
      <c r="B387" s="136"/>
      <c r="C387" s="136"/>
      <c r="D387" s="136"/>
      <c r="E387" s="136"/>
      <c r="F387" s="136"/>
      <c r="G387" s="136"/>
      <c r="H387" s="136"/>
      <c r="I387" s="136"/>
      <c r="J387" s="136"/>
      <c r="K387" s="136"/>
      <c r="L387" s="136"/>
      <c r="M387" s="136"/>
      <c r="N387" s="136"/>
      <c r="O387" s="136"/>
      <c r="P387" s="136"/>
      <c r="Q387" s="136"/>
      <c r="R387" s="136"/>
      <c r="S387" s="136"/>
      <c r="T387" s="136"/>
      <c r="U387" s="136"/>
    </row>
    <row r="388" ht="15.75" customHeight="1">
      <c r="A388" s="160"/>
      <c r="B388" s="136"/>
      <c r="C388" s="136"/>
      <c r="D388" s="136"/>
      <c r="E388" s="136"/>
      <c r="F388" s="136"/>
      <c r="G388" s="136"/>
      <c r="H388" s="136"/>
      <c r="I388" s="136"/>
      <c r="J388" s="136"/>
      <c r="K388" s="136"/>
      <c r="L388" s="136"/>
      <c r="M388" s="136"/>
      <c r="N388" s="136"/>
      <c r="O388" s="136"/>
      <c r="P388" s="136"/>
      <c r="Q388" s="136"/>
      <c r="R388" s="136"/>
      <c r="S388" s="136"/>
      <c r="T388" s="136"/>
      <c r="U388" s="136"/>
    </row>
    <row r="389" ht="15.75" customHeight="1">
      <c r="A389" s="160"/>
      <c r="B389" s="136"/>
      <c r="C389" s="136"/>
      <c r="D389" s="136"/>
      <c r="E389" s="136"/>
      <c r="F389" s="136"/>
      <c r="G389" s="136"/>
      <c r="H389" s="136"/>
      <c r="I389" s="136"/>
      <c r="J389" s="136"/>
      <c r="K389" s="136"/>
      <c r="L389" s="136"/>
      <c r="M389" s="136"/>
      <c r="N389" s="136"/>
      <c r="O389" s="136"/>
      <c r="P389" s="136"/>
      <c r="Q389" s="136"/>
      <c r="R389" s="136"/>
      <c r="S389" s="136"/>
      <c r="T389" s="136"/>
      <c r="U389" s="136"/>
    </row>
    <row r="390" ht="15.75" customHeight="1">
      <c r="A390" s="160"/>
      <c r="B390" s="136"/>
      <c r="C390" s="136"/>
      <c r="D390" s="136"/>
      <c r="E390" s="136"/>
      <c r="F390" s="136"/>
      <c r="G390" s="136"/>
      <c r="H390" s="136"/>
      <c r="I390" s="136"/>
      <c r="J390" s="136"/>
      <c r="K390" s="136"/>
      <c r="L390" s="136"/>
      <c r="M390" s="136"/>
      <c r="N390" s="136"/>
      <c r="O390" s="136"/>
      <c r="P390" s="136"/>
      <c r="Q390" s="136"/>
      <c r="R390" s="136"/>
      <c r="S390" s="136"/>
      <c r="T390" s="136"/>
      <c r="U390" s="136"/>
    </row>
    <row r="391" ht="15.75" customHeight="1">
      <c r="A391" s="160"/>
      <c r="B391" s="136"/>
      <c r="C391" s="136"/>
      <c r="D391" s="136"/>
      <c r="E391" s="136"/>
      <c r="F391" s="136"/>
      <c r="G391" s="136"/>
      <c r="H391" s="136"/>
      <c r="I391" s="136"/>
      <c r="J391" s="136"/>
      <c r="K391" s="136"/>
      <c r="L391" s="136"/>
      <c r="M391" s="136"/>
      <c r="N391" s="136"/>
      <c r="O391" s="136"/>
      <c r="P391" s="136"/>
      <c r="Q391" s="136"/>
      <c r="R391" s="136"/>
      <c r="S391" s="136"/>
      <c r="T391" s="136"/>
      <c r="U391" s="136"/>
    </row>
    <row r="392" ht="15.75" customHeight="1">
      <c r="A392" s="160"/>
      <c r="B392" s="136"/>
      <c r="C392" s="136"/>
      <c r="D392" s="136"/>
      <c r="E392" s="136"/>
      <c r="F392" s="136"/>
      <c r="G392" s="136"/>
      <c r="H392" s="136"/>
      <c r="I392" s="136"/>
      <c r="J392" s="136"/>
      <c r="K392" s="136"/>
      <c r="L392" s="136"/>
      <c r="M392" s="136"/>
      <c r="N392" s="136"/>
      <c r="O392" s="136"/>
      <c r="P392" s="136"/>
      <c r="Q392" s="136"/>
      <c r="R392" s="136"/>
      <c r="S392" s="136"/>
      <c r="T392" s="136"/>
      <c r="U392" s="136"/>
    </row>
    <row r="393" ht="15.75" customHeight="1">
      <c r="A393" s="160"/>
      <c r="B393" s="136"/>
      <c r="C393" s="136"/>
      <c r="D393" s="136"/>
      <c r="E393" s="136"/>
      <c r="F393" s="136"/>
      <c r="G393" s="136"/>
      <c r="H393" s="136"/>
      <c r="I393" s="136"/>
      <c r="J393" s="136"/>
      <c r="K393" s="136"/>
      <c r="L393" s="136"/>
      <c r="M393" s="136"/>
      <c r="N393" s="136"/>
      <c r="O393" s="136"/>
      <c r="P393" s="136"/>
      <c r="Q393" s="136"/>
      <c r="R393" s="136"/>
      <c r="S393" s="136"/>
      <c r="T393" s="136"/>
      <c r="U393" s="136"/>
    </row>
    <row r="394" ht="15.75" customHeight="1">
      <c r="A394" s="160"/>
      <c r="B394" s="136"/>
      <c r="C394" s="136"/>
      <c r="D394" s="136"/>
      <c r="E394" s="136"/>
      <c r="F394" s="136"/>
      <c r="G394" s="136"/>
      <c r="H394" s="136"/>
      <c r="I394" s="136"/>
      <c r="J394" s="136"/>
      <c r="K394" s="136"/>
      <c r="L394" s="136"/>
      <c r="M394" s="136"/>
      <c r="N394" s="136"/>
      <c r="O394" s="136"/>
      <c r="P394" s="136"/>
      <c r="Q394" s="136"/>
      <c r="R394" s="136"/>
      <c r="S394" s="136"/>
      <c r="T394" s="136"/>
      <c r="U394" s="136"/>
    </row>
    <row r="395" ht="15.75" customHeight="1">
      <c r="A395" s="160"/>
      <c r="B395" s="136"/>
      <c r="C395" s="136"/>
      <c r="D395" s="136"/>
      <c r="E395" s="136"/>
      <c r="F395" s="136"/>
      <c r="G395" s="136"/>
      <c r="H395" s="136"/>
      <c r="I395" s="136"/>
      <c r="J395" s="136"/>
      <c r="K395" s="136"/>
      <c r="L395" s="136"/>
      <c r="M395" s="136"/>
      <c r="N395" s="136"/>
      <c r="O395" s="136"/>
      <c r="P395" s="136"/>
      <c r="Q395" s="136"/>
      <c r="R395" s="136"/>
      <c r="S395" s="136"/>
      <c r="T395" s="136"/>
      <c r="U395" s="136"/>
    </row>
    <row r="396" ht="15.75" customHeight="1">
      <c r="A396" s="160"/>
      <c r="B396" s="136"/>
      <c r="C396" s="136"/>
      <c r="D396" s="136"/>
      <c r="E396" s="136"/>
      <c r="F396" s="136"/>
      <c r="G396" s="136"/>
      <c r="H396" s="136"/>
      <c r="I396" s="136"/>
      <c r="J396" s="136"/>
      <c r="K396" s="136"/>
      <c r="L396" s="136"/>
      <c r="M396" s="136"/>
      <c r="N396" s="136"/>
      <c r="O396" s="136"/>
      <c r="P396" s="136"/>
      <c r="Q396" s="136"/>
      <c r="R396" s="136"/>
      <c r="S396" s="136"/>
      <c r="T396" s="136"/>
      <c r="U396" s="136"/>
    </row>
    <row r="397" ht="15.75" customHeight="1">
      <c r="A397" s="160"/>
      <c r="B397" s="136"/>
      <c r="C397" s="136"/>
      <c r="D397" s="136"/>
      <c r="E397" s="136"/>
      <c r="F397" s="136"/>
      <c r="G397" s="136"/>
      <c r="H397" s="136"/>
      <c r="I397" s="136"/>
      <c r="J397" s="136"/>
      <c r="K397" s="136"/>
      <c r="L397" s="136"/>
      <c r="M397" s="136"/>
      <c r="N397" s="136"/>
      <c r="O397" s="136"/>
      <c r="P397" s="136"/>
      <c r="Q397" s="136"/>
      <c r="R397" s="136"/>
      <c r="S397" s="136"/>
      <c r="T397" s="136"/>
      <c r="U397" s="136"/>
    </row>
    <row r="398" ht="15.75" customHeight="1">
      <c r="A398" s="160"/>
      <c r="B398" s="136"/>
      <c r="C398" s="136"/>
      <c r="D398" s="136"/>
      <c r="E398" s="136"/>
      <c r="F398" s="136"/>
      <c r="G398" s="136"/>
      <c r="H398" s="136"/>
      <c r="I398" s="136"/>
      <c r="J398" s="136"/>
      <c r="K398" s="136"/>
      <c r="L398" s="136"/>
      <c r="M398" s="136"/>
      <c r="N398" s="136"/>
      <c r="O398" s="136"/>
      <c r="P398" s="136"/>
      <c r="Q398" s="136"/>
      <c r="R398" s="136"/>
      <c r="S398" s="136"/>
      <c r="T398" s="136"/>
      <c r="U398" s="136"/>
    </row>
    <row r="399" ht="15.75" customHeight="1">
      <c r="A399" s="160"/>
      <c r="B399" s="136"/>
      <c r="C399" s="136"/>
      <c r="D399" s="136"/>
      <c r="E399" s="136"/>
      <c r="F399" s="136"/>
      <c r="G399" s="136"/>
      <c r="H399" s="136"/>
      <c r="I399" s="136"/>
      <c r="J399" s="136"/>
      <c r="K399" s="136"/>
      <c r="L399" s="136"/>
      <c r="M399" s="136"/>
      <c r="N399" s="136"/>
      <c r="O399" s="136"/>
      <c r="P399" s="136"/>
      <c r="Q399" s="136"/>
      <c r="R399" s="136"/>
      <c r="S399" s="136"/>
      <c r="T399" s="136"/>
      <c r="U399" s="136"/>
    </row>
    <row r="400" ht="15.75" customHeight="1">
      <c r="A400" s="160"/>
      <c r="B400" s="136"/>
      <c r="C400" s="136"/>
      <c r="D400" s="136"/>
      <c r="E400" s="136"/>
      <c r="F400" s="136"/>
      <c r="G400" s="136"/>
      <c r="H400" s="136"/>
      <c r="I400" s="136"/>
      <c r="J400" s="136"/>
      <c r="K400" s="136"/>
      <c r="L400" s="136"/>
      <c r="M400" s="136"/>
      <c r="N400" s="136"/>
      <c r="O400" s="136"/>
      <c r="P400" s="136"/>
      <c r="Q400" s="136"/>
      <c r="R400" s="136"/>
      <c r="S400" s="136"/>
      <c r="T400" s="136"/>
      <c r="U400" s="136"/>
    </row>
    <row r="401" ht="15.75" customHeight="1">
      <c r="A401" s="160"/>
      <c r="B401" s="136"/>
      <c r="C401" s="136"/>
      <c r="D401" s="136"/>
      <c r="E401" s="136"/>
      <c r="F401" s="136"/>
      <c r="G401" s="136"/>
      <c r="H401" s="136"/>
      <c r="I401" s="136"/>
      <c r="J401" s="136"/>
      <c r="K401" s="136"/>
      <c r="L401" s="136"/>
      <c r="M401" s="136"/>
      <c r="N401" s="136"/>
      <c r="O401" s="136"/>
      <c r="P401" s="136"/>
      <c r="Q401" s="136"/>
      <c r="R401" s="136"/>
      <c r="S401" s="136"/>
      <c r="T401" s="136"/>
      <c r="U401" s="136"/>
    </row>
    <row r="402" ht="15.75" customHeight="1">
      <c r="A402" s="160"/>
      <c r="B402" s="136"/>
      <c r="C402" s="136"/>
      <c r="D402" s="136"/>
      <c r="E402" s="136"/>
      <c r="F402" s="136"/>
      <c r="G402" s="136"/>
      <c r="H402" s="136"/>
      <c r="I402" s="136"/>
      <c r="J402" s="136"/>
      <c r="K402" s="136"/>
      <c r="L402" s="136"/>
      <c r="M402" s="136"/>
      <c r="N402" s="136"/>
      <c r="O402" s="136"/>
      <c r="P402" s="136"/>
      <c r="Q402" s="136"/>
      <c r="R402" s="136"/>
      <c r="S402" s="136"/>
      <c r="T402" s="136"/>
      <c r="U402" s="136"/>
    </row>
    <row r="403" ht="15.75" customHeight="1">
      <c r="A403" s="160"/>
      <c r="B403" s="136"/>
      <c r="C403" s="136"/>
      <c r="D403" s="136"/>
      <c r="E403" s="136"/>
      <c r="F403" s="136"/>
      <c r="G403" s="136"/>
      <c r="H403" s="136"/>
      <c r="I403" s="136"/>
      <c r="J403" s="136"/>
      <c r="K403" s="136"/>
      <c r="L403" s="136"/>
      <c r="M403" s="136"/>
      <c r="N403" s="136"/>
      <c r="O403" s="136"/>
      <c r="P403" s="136"/>
      <c r="Q403" s="136"/>
      <c r="R403" s="136"/>
      <c r="S403" s="136"/>
      <c r="T403" s="136"/>
      <c r="U403" s="136"/>
    </row>
    <row r="404" ht="15.75" customHeight="1">
      <c r="A404" s="160"/>
      <c r="B404" s="136"/>
      <c r="C404" s="136"/>
      <c r="D404" s="136"/>
      <c r="E404" s="136"/>
      <c r="F404" s="136"/>
      <c r="G404" s="136"/>
      <c r="H404" s="136"/>
      <c r="I404" s="136"/>
      <c r="J404" s="136"/>
      <c r="K404" s="136"/>
      <c r="L404" s="136"/>
      <c r="M404" s="136"/>
      <c r="N404" s="136"/>
      <c r="O404" s="136"/>
      <c r="P404" s="136"/>
      <c r="Q404" s="136"/>
      <c r="R404" s="136"/>
      <c r="S404" s="136"/>
      <c r="T404" s="136"/>
      <c r="U404" s="136"/>
    </row>
    <row r="405" ht="15.75" customHeight="1">
      <c r="A405" s="160"/>
      <c r="B405" s="136"/>
      <c r="C405" s="136"/>
      <c r="D405" s="136"/>
      <c r="E405" s="136"/>
      <c r="F405" s="136"/>
      <c r="G405" s="136"/>
      <c r="H405" s="136"/>
      <c r="I405" s="136"/>
      <c r="J405" s="136"/>
      <c r="K405" s="136"/>
      <c r="L405" s="136"/>
      <c r="M405" s="136"/>
      <c r="N405" s="136"/>
      <c r="O405" s="136"/>
      <c r="P405" s="136"/>
      <c r="Q405" s="136"/>
      <c r="R405" s="136"/>
      <c r="S405" s="136"/>
      <c r="T405" s="136"/>
      <c r="U405" s="136"/>
    </row>
    <row r="406" ht="15.75" customHeight="1">
      <c r="A406" s="160"/>
      <c r="B406" s="136"/>
      <c r="C406" s="136"/>
      <c r="D406" s="136"/>
      <c r="E406" s="136"/>
      <c r="F406" s="136"/>
      <c r="G406" s="136"/>
      <c r="H406" s="136"/>
      <c r="I406" s="136"/>
      <c r="J406" s="136"/>
      <c r="K406" s="136"/>
      <c r="L406" s="136"/>
      <c r="M406" s="136"/>
      <c r="N406" s="136"/>
      <c r="O406" s="136"/>
      <c r="P406" s="136"/>
      <c r="Q406" s="136"/>
      <c r="R406" s="136"/>
      <c r="S406" s="136"/>
      <c r="T406" s="136"/>
      <c r="U406" s="136"/>
    </row>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conditionalFormatting sqref="H4:H155 J4:J157">
    <cfRule type="containsText" dxfId="4" priority="1" operator="containsText" text="Hoàn tất">
      <formula>NOT(ISERROR(SEARCH(("Hoàn tất"),(H4))))</formula>
    </cfRule>
  </conditionalFormatting>
  <conditionalFormatting sqref="H132">
    <cfRule type="containsText" dxfId="5" priority="2" operator="containsText" text="Không thực hiện">
      <formula>NOT(ISERROR(SEARCH(("Không thực hiện"),(H132))))</formula>
    </cfRule>
  </conditionalFormatting>
  <conditionalFormatting sqref="H132">
    <cfRule type="containsText" dxfId="6" priority="3" operator="containsText" text="Huỷ">
      <formula>NOT(ISERROR(SEARCH(("Huỷ"),(H132))))</formula>
    </cfRule>
  </conditionalFormatting>
  <conditionalFormatting sqref="H133">
    <cfRule type="containsText" dxfId="4" priority="4" operator="containsText" text="Hoàn tất">
      <formula>NOT(ISERROR(SEARCH(("Hoàn tất"),(H133))))</formula>
    </cfRule>
  </conditionalFormatting>
  <conditionalFormatting sqref="H133:H154">
    <cfRule type="containsText" dxfId="7" priority="5" operator="containsText" text="Hủy">
      <formula>NOT(ISERROR(SEARCH(("Hủy"),(H133))))</formula>
    </cfRule>
  </conditionalFormatting>
  <conditionalFormatting sqref="H156:H157">
    <cfRule type="containsText" dxfId="4" priority="6" operator="containsText" text="Hoàn tất">
      <formula>NOT(ISERROR(SEARCH(("Hoàn tất"),(H156))))</formula>
    </cfRule>
  </conditionalFormatting>
  <conditionalFormatting sqref="H156:H157">
    <cfRule type="containsText" dxfId="7" priority="7" operator="containsText" text="Hủy">
      <formula>NOT(ISERROR(SEARCH(("Hủy"),(H156))))</formula>
    </cfRule>
  </conditionalFormatting>
  <conditionalFormatting sqref="H4:H131 H133:H155 H157:H1000">
    <cfRule type="containsText" dxfId="7" priority="8" operator="containsText" text="Hủy">
      <formula>NOT(ISERROR(SEARCH(("Hủy"),(H4))))</formula>
    </cfRule>
  </conditionalFormatting>
  <conditionalFormatting sqref="H157:H1000">
    <cfRule type="containsText" dxfId="4" priority="9" operator="containsText" text="Hoàn tất">
      <formula>NOT(ISERROR(SEARCH(("Hoàn tất"),(H157))))</formula>
    </cfRule>
  </conditionalFormatting>
  <conditionalFormatting sqref="J4:J157">
    <cfRule type="containsText" dxfId="7" priority="10" operator="containsText" text="Hủy">
      <formula>NOT(ISERROR(SEARCH(("Hủy"),(J4))))</formula>
    </cfRule>
  </conditionalFormatting>
  <dataValidations>
    <dataValidation type="list" allowBlank="1" showErrorMessage="1" sqref="J3:K3 H3:H131 H133:H154 H156:H157 J4:J157">
      <formula1>"Mới,Đang thực hiện,BUG,Hoàn tất,Hủy"</formula1>
    </dataValidation>
    <dataValidation type="list" allowBlank="1" showErrorMessage="1" sqref="H132">
      <formula1>"Mới,Đang thực hiện,Hoàn tất,Không thực hiện,Hủy"</formula1>
    </dataValidation>
  </dataValidations>
  <printOptions/>
  <pageMargins bottom="0.75" footer="0.0" header="0.0" left="0.7" right="0.7" top="0.75"/>
  <pageSetup orientation="landscape"/>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26.14"/>
    <col customWidth="1" min="11" max="11" width="20.86"/>
    <col customWidth="1" min="12" max="12" width="19.29"/>
    <col customWidth="1" min="13" max="13" width="46.43"/>
  </cols>
  <sheetData>
    <row r="15">
      <c r="I15" s="41" t="s">
        <v>491</v>
      </c>
    </row>
    <row r="16">
      <c r="I16" s="161" t="s">
        <v>492</v>
      </c>
      <c r="J16" s="162" t="s">
        <v>493</v>
      </c>
      <c r="K16" s="162" t="s">
        <v>494</v>
      </c>
      <c r="L16" s="162" t="s">
        <v>495</v>
      </c>
      <c r="M16" s="163" t="s">
        <v>7</v>
      </c>
    </row>
    <row r="17">
      <c r="I17" s="164">
        <v>1121.0</v>
      </c>
      <c r="J17" s="165" t="s">
        <v>496</v>
      </c>
      <c r="K17" s="165" t="s">
        <v>497</v>
      </c>
      <c r="L17" s="165" t="s">
        <v>498</v>
      </c>
      <c r="M17" s="166" t="s">
        <v>499</v>
      </c>
    </row>
    <row r="18">
      <c r="I18" s="167">
        <v>1111.0</v>
      </c>
      <c r="J18" s="19" t="s">
        <v>500</v>
      </c>
      <c r="K18" s="19" t="s">
        <v>497</v>
      </c>
      <c r="L18" s="168" t="s">
        <v>498</v>
      </c>
      <c r="M18" s="169" t="s">
        <v>501</v>
      </c>
    </row>
    <row r="19">
      <c r="I19" s="167">
        <v>5111.0</v>
      </c>
      <c r="J19" s="19" t="s">
        <v>502</v>
      </c>
      <c r="K19" s="19" t="s">
        <v>503</v>
      </c>
      <c r="L19" s="19">
        <v>131.0</v>
      </c>
      <c r="M19" s="169" t="s">
        <v>504</v>
      </c>
    </row>
    <row r="20">
      <c r="I20" s="167">
        <v>711.0</v>
      </c>
      <c r="J20" s="19" t="s">
        <v>505</v>
      </c>
      <c r="K20" s="19" t="s">
        <v>503</v>
      </c>
      <c r="L20" s="19">
        <v>131.0</v>
      </c>
      <c r="M20" s="169" t="s">
        <v>504</v>
      </c>
    </row>
    <row r="21">
      <c r="I21" s="167">
        <v>1521.0</v>
      </c>
      <c r="J21" s="19" t="s">
        <v>506</v>
      </c>
      <c r="K21" s="19" t="s">
        <v>507</v>
      </c>
      <c r="L21" s="19">
        <v>331.0</v>
      </c>
      <c r="M21" s="169" t="s">
        <v>508</v>
      </c>
    </row>
    <row r="22">
      <c r="I22" s="167">
        <v>331.0</v>
      </c>
      <c r="J22" s="19" t="s">
        <v>509</v>
      </c>
      <c r="K22" s="19" t="s">
        <v>497</v>
      </c>
      <c r="L22" s="19" t="s">
        <v>510</v>
      </c>
      <c r="M22" s="169" t="s">
        <v>511</v>
      </c>
    </row>
    <row r="23">
      <c r="I23" s="167">
        <v>131.0</v>
      </c>
      <c r="J23" s="19" t="s">
        <v>512</v>
      </c>
      <c r="K23" s="19" t="s">
        <v>497</v>
      </c>
      <c r="L23" s="19" t="s">
        <v>510</v>
      </c>
      <c r="M23" s="169" t="s">
        <v>511</v>
      </c>
    </row>
    <row r="24">
      <c r="I24" s="170">
        <v>1311.0</v>
      </c>
      <c r="J24" s="171" t="s">
        <v>513</v>
      </c>
      <c r="K24" s="171" t="s">
        <v>503</v>
      </c>
      <c r="L24" s="171"/>
      <c r="M24" s="172" t="s">
        <v>501</v>
      </c>
    </row>
    <row r="27">
      <c r="I27" s="173" t="s">
        <v>514</v>
      </c>
      <c r="J27" s="174"/>
      <c r="K27" s="175"/>
    </row>
    <row r="28">
      <c r="I28" s="164" t="s">
        <v>515</v>
      </c>
      <c r="J28" s="165" t="s">
        <v>516</v>
      </c>
      <c r="K28" s="176"/>
      <c r="L28" s="19" t="s">
        <v>517</v>
      </c>
    </row>
    <row r="29">
      <c r="I29" s="167" t="s">
        <v>515</v>
      </c>
      <c r="J29" s="19" t="s">
        <v>518</v>
      </c>
      <c r="K29" s="177"/>
      <c r="L29" s="19" t="s">
        <v>517</v>
      </c>
    </row>
    <row r="30">
      <c r="I30" s="167" t="s">
        <v>519</v>
      </c>
      <c r="J30" s="19" t="s">
        <v>506</v>
      </c>
      <c r="K30" s="177"/>
    </row>
    <row r="31">
      <c r="I31" s="167" t="s">
        <v>520</v>
      </c>
      <c r="J31" s="19" t="s">
        <v>521</v>
      </c>
      <c r="K31" s="177"/>
    </row>
    <row r="32">
      <c r="I32" s="167" t="s">
        <v>522</v>
      </c>
      <c r="J32" s="19" t="s">
        <v>523</v>
      </c>
      <c r="K32" s="169">
        <v>1311.0</v>
      </c>
    </row>
    <row r="33">
      <c r="I33" s="170" t="s">
        <v>522</v>
      </c>
      <c r="J33" s="171" t="s">
        <v>524</v>
      </c>
      <c r="K33" s="178"/>
    </row>
    <row r="35">
      <c r="H35" s="41" t="s">
        <v>525</v>
      </c>
    </row>
    <row r="36">
      <c r="H36" s="161" t="s">
        <v>526</v>
      </c>
      <c r="I36" s="163" t="s">
        <v>527</v>
      </c>
    </row>
    <row r="37">
      <c r="H37" s="167" t="s">
        <v>528</v>
      </c>
      <c r="I37" s="169" t="s">
        <v>529</v>
      </c>
    </row>
    <row r="38">
      <c r="H38" s="167" t="s">
        <v>530</v>
      </c>
      <c r="I38" s="169" t="s">
        <v>531</v>
      </c>
    </row>
    <row r="39">
      <c r="H39" s="167" t="s">
        <v>532</v>
      </c>
      <c r="I39" s="169" t="s">
        <v>533</v>
      </c>
    </row>
    <row r="40">
      <c r="H40" s="167" t="s">
        <v>534</v>
      </c>
      <c r="I40" s="169" t="s">
        <v>535</v>
      </c>
    </row>
    <row r="41">
      <c r="H41" s="167" t="s">
        <v>536</v>
      </c>
      <c r="I41" s="169" t="s">
        <v>513</v>
      </c>
    </row>
    <row r="42">
      <c r="H42" s="170" t="s">
        <v>537</v>
      </c>
      <c r="I42" s="172" t="s">
        <v>524</v>
      </c>
    </row>
  </sheetData>
  <dataValidations>
    <dataValidation type="list" allowBlank="1" showErrorMessage="1" sqref="K17:K24">
      <formula1>"TK Nợ,TK Có,TK Nợ, TK Có"</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4.86"/>
    <col customWidth="1" min="3" max="3" width="21.0"/>
    <col customWidth="1" min="4" max="4" width="17.14"/>
    <col customWidth="1" min="5" max="5" width="19.0"/>
    <col customWidth="1" min="6" max="6" width="18.29"/>
    <col customWidth="1" min="7" max="7" width="16.14"/>
    <col customWidth="1" min="8" max="8" width="21.86"/>
    <col customWidth="1" min="9" max="9" width="18.57"/>
    <col customWidth="1" min="10" max="10" width="21.57"/>
    <col customWidth="1" min="11" max="11" width="19.14"/>
    <col customWidth="1" min="12" max="12" width="16.43"/>
  </cols>
  <sheetData>
    <row r="1">
      <c r="A1" s="39">
        <v>1.0</v>
      </c>
      <c r="B1" s="40" t="s">
        <v>538</v>
      </c>
    </row>
    <row r="2">
      <c r="B2" s="179" t="s">
        <v>539</v>
      </c>
      <c r="C2" s="180"/>
      <c r="D2" s="180"/>
      <c r="E2" s="180"/>
      <c r="F2" s="180"/>
      <c r="G2" s="180"/>
      <c r="H2" s="180"/>
      <c r="I2" s="180"/>
      <c r="J2" s="180"/>
      <c r="K2" s="180"/>
      <c r="L2" s="180"/>
    </row>
    <row r="3">
      <c r="A3" s="42"/>
      <c r="B3" s="181" t="s">
        <v>1</v>
      </c>
      <c r="C3" s="181" t="s">
        <v>540</v>
      </c>
      <c r="D3" s="181" t="s">
        <v>21</v>
      </c>
      <c r="E3" s="181" t="s">
        <v>541</v>
      </c>
      <c r="F3" s="181" t="s">
        <v>542</v>
      </c>
      <c r="G3" s="181" t="s">
        <v>543</v>
      </c>
      <c r="H3" s="181" t="s">
        <v>436</v>
      </c>
      <c r="I3" s="181" t="s">
        <v>167</v>
      </c>
      <c r="J3" s="181" t="s">
        <v>544</v>
      </c>
      <c r="K3" s="181" t="s">
        <v>545</v>
      </c>
      <c r="L3" s="181" t="s">
        <v>546</v>
      </c>
    </row>
    <row r="4">
      <c r="A4" s="42"/>
      <c r="B4" s="182">
        <v>1.0</v>
      </c>
      <c r="C4" s="182" t="s">
        <v>547</v>
      </c>
      <c r="D4" s="182" t="s">
        <v>548</v>
      </c>
      <c r="E4" s="182" t="s">
        <v>549</v>
      </c>
      <c r="F4" s="182" t="s">
        <v>550</v>
      </c>
      <c r="G4" s="182" t="s">
        <v>551</v>
      </c>
      <c r="H4" s="182">
        <v>1.0</v>
      </c>
      <c r="I4" s="182">
        <v>0.0</v>
      </c>
      <c r="J4" s="182">
        <v>8.0</v>
      </c>
      <c r="K4" s="182">
        <v>0.0</v>
      </c>
      <c r="L4" s="182">
        <v>0.0</v>
      </c>
    </row>
    <row r="5" ht="15.75" customHeight="1">
      <c r="B5" s="182">
        <v>2.0</v>
      </c>
      <c r="C5" s="182" t="s">
        <v>547</v>
      </c>
      <c r="D5" s="182" t="s">
        <v>548</v>
      </c>
      <c r="E5" s="182" t="s">
        <v>552</v>
      </c>
      <c r="F5" s="182" t="s">
        <v>553</v>
      </c>
      <c r="G5" s="182" t="s">
        <v>551</v>
      </c>
      <c r="H5" s="182">
        <v>1.0</v>
      </c>
      <c r="I5" s="182">
        <v>0.0</v>
      </c>
      <c r="J5" s="182">
        <v>10.0</v>
      </c>
      <c r="K5" s="182">
        <v>0.0</v>
      </c>
      <c r="L5" s="182">
        <v>0.0</v>
      </c>
    </row>
    <row r="6" ht="15.75" customHeight="1">
      <c r="B6" s="182">
        <v>3.0</v>
      </c>
      <c r="C6" s="182" t="s">
        <v>547</v>
      </c>
      <c r="D6" s="182" t="s">
        <v>548</v>
      </c>
      <c r="E6" s="182" t="s">
        <v>554</v>
      </c>
      <c r="F6" s="182" t="s">
        <v>555</v>
      </c>
      <c r="G6" s="182" t="s">
        <v>551</v>
      </c>
      <c r="H6" s="182">
        <v>1.0</v>
      </c>
      <c r="I6" s="182">
        <v>0.0</v>
      </c>
      <c r="J6" s="182">
        <v>8.0</v>
      </c>
      <c r="K6" s="182">
        <v>0.0</v>
      </c>
      <c r="L6" s="182">
        <v>0.0</v>
      </c>
    </row>
    <row r="7" ht="15.75" customHeight="1">
      <c r="B7" s="181" t="s">
        <v>429</v>
      </c>
      <c r="C7" s="183"/>
      <c r="D7" s="184"/>
      <c r="E7" s="184"/>
      <c r="F7" s="184"/>
      <c r="G7" s="184"/>
      <c r="H7" s="184">
        <f>SUM(H4:H6)</f>
        <v>3</v>
      </c>
      <c r="I7" s="184"/>
      <c r="J7" s="184"/>
      <c r="K7" s="184">
        <f t="shared" ref="K7:L7" si="1">SUM(K4:K6)</f>
        <v>0</v>
      </c>
      <c r="L7" s="184">
        <f t="shared" si="1"/>
        <v>0</v>
      </c>
    </row>
    <row r="8" ht="15.75" customHeight="1"/>
    <row r="9" ht="15.75" customHeight="1">
      <c r="B9" s="179" t="s">
        <v>556</v>
      </c>
      <c r="C9" s="180"/>
      <c r="D9" s="180"/>
      <c r="E9" s="180"/>
      <c r="F9" s="180"/>
      <c r="G9" s="180"/>
      <c r="H9" s="180"/>
      <c r="I9" s="180"/>
      <c r="J9" s="180"/>
    </row>
    <row r="10" ht="15.75" customHeight="1">
      <c r="B10" s="181" t="s">
        <v>541</v>
      </c>
      <c r="C10" s="181" t="s">
        <v>542</v>
      </c>
      <c r="D10" s="181" t="s">
        <v>543</v>
      </c>
      <c r="E10" s="181" t="s">
        <v>436</v>
      </c>
      <c r="F10" s="181" t="s">
        <v>167</v>
      </c>
      <c r="G10" s="181" t="s">
        <v>544</v>
      </c>
      <c r="H10" s="181" t="s">
        <v>545</v>
      </c>
      <c r="I10" s="181" t="s">
        <v>546</v>
      </c>
      <c r="J10" s="181" t="s">
        <v>21</v>
      </c>
    </row>
    <row r="11" ht="15.75" customHeight="1">
      <c r="B11" s="185" t="s">
        <v>549</v>
      </c>
      <c r="C11" s="185" t="s">
        <v>550</v>
      </c>
      <c r="D11" s="185" t="s">
        <v>551</v>
      </c>
      <c r="E11" s="185">
        <v>100.0</v>
      </c>
      <c r="F11" s="186">
        <v>50000.0</v>
      </c>
      <c r="G11" s="185">
        <v>8.0</v>
      </c>
      <c r="H11" s="186">
        <f>E11*F11</f>
        <v>5000000</v>
      </c>
      <c r="I11" s="186">
        <f>H11+(G11%*H11)</f>
        <v>5400000</v>
      </c>
      <c r="J11" s="185" t="s">
        <v>548</v>
      </c>
    </row>
    <row r="12" ht="15.75" customHeight="1">
      <c r="B12" s="182" t="s">
        <v>540</v>
      </c>
      <c r="C12" s="187" t="s">
        <v>3</v>
      </c>
      <c r="D12" s="188"/>
      <c r="E12" s="188"/>
      <c r="F12" s="188"/>
      <c r="G12" s="188"/>
      <c r="H12" s="188"/>
      <c r="I12" s="189"/>
      <c r="J12" s="183"/>
    </row>
    <row r="13" ht="15.75" customHeight="1">
      <c r="B13" s="182" t="s">
        <v>547</v>
      </c>
      <c r="C13" s="190"/>
      <c r="D13" s="188"/>
      <c r="E13" s="188"/>
      <c r="F13" s="188"/>
      <c r="G13" s="188"/>
      <c r="H13" s="188"/>
      <c r="I13" s="188"/>
      <c r="J13" s="189"/>
    </row>
    <row r="14" ht="15.75" customHeight="1">
      <c r="J14" s="191" t="s">
        <v>235</v>
      </c>
    </row>
    <row r="15" ht="15.75" customHeight="1"/>
    <row r="16" ht="15.75" customHeight="1"/>
    <row r="17" ht="15.75" customHeight="1"/>
    <row r="18" ht="15.75" customHeight="1"/>
    <row r="19" ht="15.75" customHeight="1"/>
    <row r="20" ht="15.75" customHeight="1"/>
    <row r="21" ht="15.75" customHeight="1"/>
    <row r="22" ht="15.75" customHeight="1">
      <c r="A22" s="39">
        <v>2.0</v>
      </c>
      <c r="B22" s="40" t="s">
        <v>222</v>
      </c>
    </row>
    <row r="23" ht="15.75" customHeight="1"/>
    <row r="24" ht="15.75" customHeight="1"/>
    <row r="25" ht="15.75" customHeight="1"/>
    <row r="26" ht="15.75" customHeight="1">
      <c r="A26" s="40">
        <v>3.0</v>
      </c>
      <c r="B26" s="39" t="s">
        <v>129</v>
      </c>
    </row>
    <row r="27" ht="15.75" customHeight="1"/>
    <row r="28" ht="15.75" customHeight="1">
      <c r="B28" s="46" t="s">
        <v>1</v>
      </c>
      <c r="C28" s="47" t="s">
        <v>130</v>
      </c>
      <c r="D28" s="47" t="s">
        <v>131</v>
      </c>
      <c r="E28" s="47" t="s">
        <v>7</v>
      </c>
    </row>
    <row r="29" ht="15.75" customHeight="1">
      <c r="B29" s="48">
        <v>1.0</v>
      </c>
      <c r="C29" s="48" t="s">
        <v>132</v>
      </c>
      <c r="D29" s="51"/>
      <c r="E29" s="48"/>
    </row>
    <row r="30" ht="15.75" customHeight="1">
      <c r="B30" s="48">
        <v>2.0</v>
      </c>
      <c r="C30" s="52" t="s">
        <v>310</v>
      </c>
      <c r="D30" s="51"/>
      <c r="E30" s="48"/>
    </row>
    <row r="31" ht="15.75" customHeight="1">
      <c r="B31" s="48">
        <v>3.0</v>
      </c>
      <c r="C31" s="48" t="s">
        <v>263</v>
      </c>
      <c r="D31" s="51"/>
      <c r="E31" s="48"/>
    </row>
    <row r="32" ht="15.75" customHeight="1">
      <c r="B32" s="48">
        <v>4.0</v>
      </c>
      <c r="C32" s="52" t="s">
        <v>557</v>
      </c>
      <c r="D32" s="51"/>
      <c r="E32" s="105"/>
    </row>
    <row r="33" ht="15.75" customHeight="1">
      <c r="B33" s="48">
        <v>5.0</v>
      </c>
      <c r="C33" s="48" t="s">
        <v>265</v>
      </c>
      <c r="D33" s="51"/>
      <c r="E33" s="48"/>
    </row>
    <row r="34" ht="15.75" customHeight="1">
      <c r="B34" s="48">
        <v>6.0</v>
      </c>
      <c r="C34" s="48" t="s">
        <v>267</v>
      </c>
      <c r="D34" s="51"/>
      <c r="E34" s="48"/>
    </row>
    <row r="35" ht="15.75" customHeight="1">
      <c r="B35" s="48">
        <v>7.0</v>
      </c>
      <c r="C35" s="48" t="s">
        <v>235</v>
      </c>
      <c r="D35" s="51"/>
      <c r="E35" s="48"/>
    </row>
    <row r="36" ht="15.75" customHeight="1">
      <c r="B36" s="48">
        <v>8.0</v>
      </c>
      <c r="C36" s="48" t="s">
        <v>270</v>
      </c>
      <c r="D36" s="51"/>
      <c r="E36" s="48"/>
    </row>
    <row r="37" ht="15.75" customHeight="1">
      <c r="B37" s="48">
        <v>9.0</v>
      </c>
      <c r="C37" s="52" t="s">
        <v>237</v>
      </c>
      <c r="D37" s="51"/>
      <c r="E37" s="48"/>
    </row>
    <row r="38" ht="15.75" customHeight="1">
      <c r="B38" s="48">
        <v>10.0</v>
      </c>
      <c r="C38" s="52" t="s">
        <v>327</v>
      </c>
      <c r="D38" s="51"/>
      <c r="E38" s="109"/>
    </row>
    <row r="39" ht="15.75" customHeight="1">
      <c r="B39" s="48">
        <v>11.0</v>
      </c>
      <c r="C39" s="48" t="s">
        <v>258</v>
      </c>
      <c r="D39" s="51"/>
      <c r="E39" s="48"/>
    </row>
    <row r="40" ht="15.75" customHeight="1">
      <c r="B40" s="48">
        <v>12.0</v>
      </c>
      <c r="D40" s="51"/>
      <c r="E40" s="48"/>
    </row>
    <row r="41" ht="15.75" customHeight="1">
      <c r="B41" s="48">
        <v>13.0</v>
      </c>
      <c r="D41" s="51"/>
      <c r="E41" s="48"/>
    </row>
    <row r="42" ht="15.75" customHeight="1">
      <c r="B42" s="48"/>
      <c r="C42" s="52"/>
      <c r="D42" s="51"/>
      <c r="E42" s="48"/>
    </row>
    <row r="43" ht="15.75" customHeight="1">
      <c r="B43" s="52"/>
      <c r="C43" s="52"/>
      <c r="D43" s="51"/>
      <c r="E43" s="48"/>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2">
    <mergeCell ref="C12:I12"/>
    <mergeCell ref="C13:J13"/>
  </mergeCells>
  <dataValidations>
    <dataValidation type="list" allowBlank="1" showErrorMessage="1" sqref="J11">
      <formula1>"Kho quà tặng"</formula1>
    </dataValidation>
    <dataValidation type="list" allowBlank="1" showErrorMessage="1" sqref="D11">
      <formula1>"Cái"</formula1>
    </dataValidation>
  </dataValidations>
  <printOptions/>
  <pageMargins bottom="0.75" footer="0.0" header="0.0" left="0.7" right="0.7" top="0.75"/>
  <pageSetup orientation="landscape"/>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4.14"/>
    <col customWidth="1" min="3" max="3" width="23.0"/>
    <col customWidth="1" min="4" max="4" width="19.86"/>
    <col customWidth="1" min="5" max="5" width="18.29"/>
    <col customWidth="1" min="6" max="6" width="16.43"/>
    <col customWidth="1" min="7" max="7" width="18.0"/>
    <col customWidth="1" min="8" max="8" width="20.57"/>
    <col customWidth="1" min="9" max="9" width="21.0"/>
    <col customWidth="1" min="10" max="10" width="20.0"/>
  </cols>
  <sheetData>
    <row r="1">
      <c r="A1" s="40">
        <v>1.0</v>
      </c>
      <c r="B1" s="40" t="s">
        <v>220</v>
      </c>
    </row>
    <row r="2">
      <c r="A2" s="39"/>
      <c r="B2" s="192" t="s">
        <v>558</v>
      </c>
      <c r="C2" s="180"/>
      <c r="D2" s="180"/>
      <c r="E2" s="180"/>
      <c r="F2" s="180"/>
      <c r="G2" s="180"/>
      <c r="H2" s="180"/>
      <c r="I2" s="180"/>
      <c r="J2" s="193" t="s">
        <v>559</v>
      </c>
      <c r="K2" s="193" t="s">
        <v>263</v>
      </c>
    </row>
    <row r="3">
      <c r="A3" s="39"/>
      <c r="B3" s="194" t="s">
        <v>560</v>
      </c>
      <c r="C3" s="181" t="s">
        <v>561</v>
      </c>
      <c r="D3" s="181" t="s">
        <v>562</v>
      </c>
      <c r="E3" s="181" t="s">
        <v>148</v>
      </c>
      <c r="F3" s="181" t="s">
        <v>563</v>
      </c>
      <c r="G3" s="181" t="s">
        <v>564</v>
      </c>
      <c r="H3" s="181" t="s">
        <v>565</v>
      </c>
      <c r="I3" s="181" t="s">
        <v>566</v>
      </c>
      <c r="J3" s="181" t="s">
        <v>567</v>
      </c>
      <c r="K3" s="181" t="s">
        <v>2</v>
      </c>
    </row>
    <row r="4">
      <c r="A4" s="39"/>
      <c r="B4" s="195">
        <v>124.0</v>
      </c>
      <c r="C4" s="195" t="s">
        <v>547</v>
      </c>
      <c r="D4" s="195" t="s">
        <v>568</v>
      </c>
      <c r="E4" s="195" t="s">
        <v>237</v>
      </c>
      <c r="F4" s="196"/>
      <c r="G4" s="196"/>
      <c r="H4" s="196"/>
      <c r="I4" s="196"/>
      <c r="J4" s="196"/>
      <c r="K4" s="197" t="s">
        <v>569</v>
      </c>
    </row>
    <row r="5">
      <c r="A5" s="39"/>
      <c r="B5" s="195">
        <v>125.0</v>
      </c>
      <c r="C5" s="195" t="s">
        <v>547</v>
      </c>
      <c r="D5" s="195" t="s">
        <v>570</v>
      </c>
      <c r="E5" s="195" t="s">
        <v>237</v>
      </c>
      <c r="F5" s="196"/>
      <c r="G5" s="196"/>
      <c r="H5" s="196"/>
      <c r="I5" s="196"/>
      <c r="J5" s="196"/>
      <c r="K5" s="197" t="s">
        <v>569</v>
      </c>
    </row>
    <row r="6">
      <c r="A6" s="39"/>
      <c r="B6" s="40"/>
    </row>
    <row r="7">
      <c r="A7" s="40">
        <v>2.0</v>
      </c>
      <c r="B7" s="40" t="s">
        <v>571</v>
      </c>
    </row>
    <row r="9">
      <c r="A9" s="42"/>
      <c r="B9" s="192" t="s">
        <v>572</v>
      </c>
      <c r="C9" s="180"/>
      <c r="D9" s="180"/>
      <c r="E9" s="180"/>
      <c r="F9" s="180"/>
      <c r="G9" s="180"/>
      <c r="H9" s="180"/>
      <c r="J9" s="179" t="s">
        <v>573</v>
      </c>
      <c r="K9" s="180"/>
      <c r="L9" s="180"/>
      <c r="M9" s="180"/>
      <c r="N9" s="180"/>
    </row>
    <row r="10">
      <c r="A10" s="42"/>
      <c r="B10" s="161" t="s">
        <v>574</v>
      </c>
      <c r="C10" s="162" t="s">
        <v>575</v>
      </c>
      <c r="D10" s="162" t="s">
        <v>563</v>
      </c>
      <c r="E10" s="162" t="s">
        <v>564</v>
      </c>
      <c r="F10" s="198" t="s">
        <v>560</v>
      </c>
      <c r="G10" s="162" t="s">
        <v>561</v>
      </c>
      <c r="H10" s="163" t="s">
        <v>148</v>
      </c>
      <c r="J10" s="199" t="s">
        <v>1</v>
      </c>
      <c r="K10" s="199" t="s">
        <v>541</v>
      </c>
      <c r="L10" s="199" t="s">
        <v>542</v>
      </c>
      <c r="M10" s="199" t="s">
        <v>543</v>
      </c>
      <c r="N10" s="199" t="s">
        <v>576</v>
      </c>
    </row>
    <row r="11" ht="15.75" customHeight="1">
      <c r="B11" s="200"/>
      <c r="C11" s="201"/>
      <c r="D11" s="201"/>
      <c r="E11" s="201"/>
      <c r="F11" s="201"/>
      <c r="G11" s="201"/>
      <c r="H11" s="202"/>
      <c r="J11" s="195">
        <v>1.0</v>
      </c>
      <c r="K11" s="195" t="s">
        <v>549</v>
      </c>
      <c r="L11" s="195" t="s">
        <v>550</v>
      </c>
      <c r="M11" s="195" t="s">
        <v>551</v>
      </c>
      <c r="N11" s="195">
        <v>100.0</v>
      </c>
    </row>
    <row r="12" ht="15.75" customHeight="1">
      <c r="B12" s="203" t="s">
        <v>565</v>
      </c>
      <c r="C12" s="41" t="s">
        <v>567</v>
      </c>
      <c r="D12" s="41" t="s">
        <v>566</v>
      </c>
      <c r="E12" s="41" t="s">
        <v>577</v>
      </c>
      <c r="F12" s="41" t="s">
        <v>578</v>
      </c>
      <c r="G12" s="41" t="s">
        <v>579</v>
      </c>
      <c r="H12" s="204"/>
      <c r="J12" s="195">
        <v>2.0</v>
      </c>
      <c r="K12" s="195" t="s">
        <v>552</v>
      </c>
      <c r="L12" s="195" t="s">
        <v>553</v>
      </c>
      <c r="M12" s="195" t="s">
        <v>551</v>
      </c>
      <c r="N12" s="195">
        <v>80.0</v>
      </c>
    </row>
    <row r="13" ht="15.75" customHeight="1">
      <c r="B13" s="205"/>
      <c r="C13" s="201"/>
      <c r="D13" s="201"/>
      <c r="E13" s="201"/>
      <c r="F13" s="201"/>
      <c r="G13" s="201"/>
      <c r="H13" s="204"/>
      <c r="J13" s="195">
        <v>3.0</v>
      </c>
      <c r="K13" s="195" t="s">
        <v>554</v>
      </c>
      <c r="L13" s="195" t="s">
        <v>555</v>
      </c>
      <c r="M13" s="195" t="s">
        <v>551</v>
      </c>
      <c r="N13" s="195">
        <v>500.0</v>
      </c>
    </row>
    <row r="14" ht="15.75" customHeight="1">
      <c r="B14" s="203" t="s">
        <v>580</v>
      </c>
      <c r="C14" s="41" t="s">
        <v>581</v>
      </c>
      <c r="D14" s="41" t="s">
        <v>582</v>
      </c>
      <c r="E14" s="41" t="s">
        <v>583</v>
      </c>
      <c r="F14" s="41" t="s">
        <v>584</v>
      </c>
      <c r="G14" s="41" t="s">
        <v>585</v>
      </c>
      <c r="H14" s="202"/>
      <c r="J14" s="206"/>
      <c r="K14" s="206"/>
      <c r="L14" s="206"/>
      <c r="M14" s="206"/>
      <c r="N14" s="206"/>
    </row>
    <row r="15" ht="15.75" customHeight="1">
      <c r="B15" s="207"/>
      <c r="C15" s="208"/>
      <c r="D15" s="208"/>
      <c r="E15" s="208"/>
      <c r="F15" s="208"/>
      <c r="G15" s="208"/>
      <c r="H15" s="178"/>
      <c r="K15" s="19"/>
      <c r="L15" s="19"/>
      <c r="M15" s="19"/>
      <c r="N15" s="19"/>
      <c r="O15" s="19"/>
    </row>
    <row r="16" ht="15.75" customHeight="1">
      <c r="K16" s="19"/>
      <c r="L16" s="19"/>
      <c r="M16" s="19"/>
      <c r="N16" s="19"/>
      <c r="O16" s="19"/>
    </row>
    <row r="17" ht="15.75" customHeight="1">
      <c r="B17" s="209" t="s">
        <v>586</v>
      </c>
      <c r="C17" s="210"/>
      <c r="D17" s="210"/>
      <c r="E17" s="210"/>
      <c r="F17" s="210"/>
      <c r="G17" s="210"/>
      <c r="H17" s="210"/>
      <c r="I17" s="210"/>
      <c r="J17" s="211"/>
    </row>
    <row r="18" ht="15.75" customHeight="1">
      <c r="B18" s="181" t="s">
        <v>1</v>
      </c>
      <c r="C18" s="181" t="s">
        <v>541</v>
      </c>
      <c r="D18" s="181" t="s">
        <v>542</v>
      </c>
      <c r="E18" s="181" t="s">
        <v>543</v>
      </c>
      <c r="F18" s="181" t="s">
        <v>436</v>
      </c>
      <c r="G18" s="181" t="s">
        <v>167</v>
      </c>
      <c r="H18" s="181" t="s">
        <v>544</v>
      </c>
      <c r="I18" s="181" t="s">
        <v>545</v>
      </c>
      <c r="J18" s="181" t="s">
        <v>546</v>
      </c>
    </row>
    <row r="19" ht="15.75" customHeight="1">
      <c r="B19" s="195">
        <v>1.0</v>
      </c>
      <c r="C19" s="182" t="s">
        <v>549</v>
      </c>
      <c r="D19" s="195" t="s">
        <v>550</v>
      </c>
      <c r="E19" s="195" t="s">
        <v>551</v>
      </c>
      <c r="F19" s="182">
        <v>1.0</v>
      </c>
      <c r="G19" s="195">
        <v>0.0</v>
      </c>
      <c r="H19" s="195">
        <v>8.0</v>
      </c>
      <c r="I19" s="195">
        <v>0.0</v>
      </c>
      <c r="J19" s="195">
        <v>0.0</v>
      </c>
    </row>
    <row r="20" ht="15.75" customHeight="1">
      <c r="B20" s="195">
        <v>2.0</v>
      </c>
      <c r="C20" s="182" t="s">
        <v>552</v>
      </c>
      <c r="D20" s="195" t="s">
        <v>553</v>
      </c>
      <c r="E20" s="195" t="s">
        <v>551</v>
      </c>
      <c r="F20" s="182">
        <v>1.0</v>
      </c>
      <c r="G20" s="195">
        <v>0.0</v>
      </c>
      <c r="H20" s="195">
        <v>10.0</v>
      </c>
      <c r="I20" s="195">
        <v>0.0</v>
      </c>
      <c r="J20" s="195">
        <v>0.0</v>
      </c>
    </row>
    <row r="21" ht="15.75" customHeight="1">
      <c r="B21" s="195">
        <v>3.0</v>
      </c>
      <c r="C21" s="182" t="s">
        <v>554</v>
      </c>
      <c r="D21" s="195" t="s">
        <v>555</v>
      </c>
      <c r="E21" s="195" t="s">
        <v>551</v>
      </c>
      <c r="F21" s="182">
        <v>1.0</v>
      </c>
      <c r="G21" s="195">
        <v>0.0</v>
      </c>
      <c r="H21" s="195">
        <v>8.0</v>
      </c>
      <c r="I21" s="195">
        <v>0.0</v>
      </c>
      <c r="J21" s="195">
        <v>0.0</v>
      </c>
    </row>
    <row r="22" ht="15.75" customHeight="1">
      <c r="B22" s="181" t="s">
        <v>429</v>
      </c>
      <c r="C22" s="184"/>
      <c r="D22" s="184"/>
      <c r="E22" s="184"/>
      <c r="F22" s="184">
        <f>SUM(F19:F21)</f>
        <v>3</v>
      </c>
      <c r="G22" s="184"/>
      <c r="H22" s="184"/>
      <c r="I22" s="184">
        <f t="shared" ref="I22:J22" si="1">SUM(I19:I21)</f>
        <v>0</v>
      </c>
      <c r="J22" s="184">
        <f t="shared" si="1"/>
        <v>0</v>
      </c>
    </row>
    <row r="23" ht="15.75" customHeight="1">
      <c r="B23" s="200"/>
      <c r="J23" s="177"/>
    </row>
    <row r="24" ht="15.75" customHeight="1">
      <c r="B24" s="190"/>
      <c r="C24" s="212"/>
      <c r="D24" s="212"/>
      <c r="E24" s="212"/>
      <c r="F24" s="212"/>
      <c r="G24" s="212"/>
      <c r="H24" s="175"/>
      <c r="I24" s="213" t="s">
        <v>237</v>
      </c>
      <c r="J24" s="214" t="s">
        <v>587</v>
      </c>
    </row>
    <row r="25" ht="15.75" customHeight="1"/>
    <row r="26" ht="15.75" customHeight="1"/>
    <row r="27" ht="15.75" customHeight="1">
      <c r="B27" s="215"/>
    </row>
    <row r="28" ht="15.75" customHeight="1"/>
    <row r="29" ht="15.75" customHeight="1"/>
    <row r="30" ht="15.75" customHeight="1"/>
    <row r="31" ht="15.75" customHeight="1">
      <c r="A31" s="39">
        <v>2.0</v>
      </c>
      <c r="B31" s="40" t="s">
        <v>222</v>
      </c>
    </row>
    <row r="32" ht="15.75" customHeight="1"/>
    <row r="33" ht="15.75" customHeight="1"/>
    <row r="34" ht="15.75" customHeight="1"/>
    <row r="35" ht="15.75" customHeight="1">
      <c r="A35" s="40">
        <v>3.0</v>
      </c>
      <c r="B35" s="39" t="s">
        <v>129</v>
      </c>
    </row>
    <row r="36" ht="15.75" customHeight="1"/>
    <row r="37" ht="15.75" customHeight="1">
      <c r="B37" s="46" t="s">
        <v>1</v>
      </c>
      <c r="C37" s="47" t="s">
        <v>130</v>
      </c>
      <c r="D37" s="47" t="s">
        <v>131</v>
      </c>
      <c r="E37" s="47" t="s">
        <v>7</v>
      </c>
    </row>
    <row r="38" ht="15.75" customHeight="1">
      <c r="B38" s="48">
        <v>1.0</v>
      </c>
      <c r="C38" s="48" t="s">
        <v>132</v>
      </c>
      <c r="D38" s="51"/>
      <c r="E38" s="48"/>
    </row>
    <row r="39" ht="15.75" customHeight="1">
      <c r="B39" s="48">
        <v>2.0</v>
      </c>
      <c r="C39" s="52" t="s">
        <v>310</v>
      </c>
      <c r="D39" s="51"/>
      <c r="E39" s="48"/>
    </row>
    <row r="40" ht="15.75" customHeight="1">
      <c r="B40" s="48">
        <v>3.0</v>
      </c>
      <c r="C40" s="48" t="s">
        <v>263</v>
      </c>
      <c r="D40" s="51"/>
      <c r="E40" s="48"/>
    </row>
    <row r="41" ht="15.75" customHeight="1">
      <c r="B41" s="48">
        <v>4.0</v>
      </c>
      <c r="C41" s="52" t="s">
        <v>557</v>
      </c>
      <c r="D41" s="51"/>
      <c r="E41" s="105"/>
    </row>
    <row r="42" ht="15.75" customHeight="1">
      <c r="B42" s="48">
        <v>5.0</v>
      </c>
      <c r="C42" s="48" t="s">
        <v>265</v>
      </c>
      <c r="D42" s="51"/>
      <c r="E42" s="48"/>
    </row>
    <row r="43" ht="15.75" customHeight="1">
      <c r="B43" s="48">
        <v>6.0</v>
      </c>
      <c r="C43" s="48" t="s">
        <v>267</v>
      </c>
      <c r="D43" s="51"/>
      <c r="E43" s="48"/>
    </row>
    <row r="44" ht="15.75" customHeight="1">
      <c r="B44" s="48">
        <v>7.0</v>
      </c>
      <c r="C44" s="48" t="s">
        <v>235</v>
      </c>
      <c r="D44" s="51"/>
      <c r="E44" s="48"/>
    </row>
    <row r="45" ht="15.75" customHeight="1">
      <c r="B45" s="48">
        <v>8.0</v>
      </c>
      <c r="C45" s="48" t="s">
        <v>270</v>
      </c>
      <c r="D45" s="51"/>
      <c r="E45" s="48"/>
    </row>
    <row r="46" ht="15.75" customHeight="1">
      <c r="B46" s="48">
        <v>9.0</v>
      </c>
      <c r="C46" s="52" t="s">
        <v>237</v>
      </c>
      <c r="D46" s="51"/>
      <c r="E46" s="48"/>
    </row>
    <row r="47" ht="15.75" customHeight="1">
      <c r="B47" s="48">
        <v>10.0</v>
      </c>
      <c r="C47" s="52" t="s">
        <v>327</v>
      </c>
      <c r="D47" s="51"/>
      <c r="E47" s="109"/>
    </row>
    <row r="48" ht="15.75" customHeight="1">
      <c r="B48" s="48">
        <v>11.0</v>
      </c>
      <c r="C48" s="48" t="s">
        <v>258</v>
      </c>
      <c r="D48" s="51"/>
      <c r="E48" s="48"/>
    </row>
    <row r="49" ht="15.75" customHeight="1">
      <c r="B49" s="48">
        <v>12.0</v>
      </c>
      <c r="D49" s="51"/>
      <c r="E49" s="48"/>
    </row>
    <row r="50" ht="15.75" customHeight="1">
      <c r="B50" s="48">
        <v>13.0</v>
      </c>
      <c r="D50" s="51"/>
      <c r="E50" s="48"/>
    </row>
    <row r="51" ht="15.75" customHeight="1">
      <c r="B51" s="48"/>
      <c r="C51" s="52"/>
      <c r="D51" s="51"/>
      <c r="E51" s="48"/>
    </row>
    <row r="52" ht="15.75" customHeight="1">
      <c r="B52" s="52"/>
      <c r="C52" s="52"/>
      <c r="D52" s="51"/>
      <c r="E52" s="48"/>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sheetData>
  <mergeCells count="2">
    <mergeCell ref="G12:H12"/>
    <mergeCell ref="G13:H13"/>
  </mergeCells>
  <dataValidations>
    <dataValidation type="list" allowBlank="1" showErrorMessage="1" sqref="E4:E5 H11">
      <formula1>"Lưu tạm,Hoàn tất,Hủy"</formula1>
    </dataValidation>
    <dataValidation type="list" allowBlank="1" showErrorMessage="1" sqref="D4:D5">
      <formula1>"Theo Hóa đơn,Theo Khách hàng"</formula1>
    </dataValidation>
    <dataValidation type="list" allowBlank="1" showErrorMessage="1" sqref="H4:H5 B13 E15">
      <formula1>"Nguyễn Văn A,Lê Thị B,Đỗ Văn D"</formula1>
    </dataValidation>
  </dataValidations>
  <printOptions/>
  <pageMargins bottom="0.75" footer="0.0" header="0.0" left="0.7" right="0.7" top="0.75"/>
  <pageSetup orientation="landscape"/>
  <drawing r:id="rId2"/>
  <legacyDrawing r:id="rId3"/>
  <tableParts count="1">
    <tablePart r:id="rId5"/>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1.43"/>
    <col customWidth="1" min="3" max="3" width="23.0"/>
    <col customWidth="1" min="4" max="4" width="19.86"/>
    <col customWidth="1" min="5" max="5" width="18.29"/>
    <col customWidth="1" min="6" max="6" width="18.14"/>
    <col customWidth="1" min="7" max="7" width="18.0"/>
    <col customWidth="1" min="8" max="8" width="17.86"/>
    <col customWidth="1" min="9" max="9" width="22.14"/>
    <col customWidth="1" min="10" max="10" width="21.29"/>
  </cols>
  <sheetData>
    <row r="1">
      <c r="A1" s="40">
        <v>1.0</v>
      </c>
      <c r="B1" s="40" t="s">
        <v>220</v>
      </c>
    </row>
    <row r="2">
      <c r="A2" s="39"/>
      <c r="B2" s="192" t="s">
        <v>572</v>
      </c>
      <c r="C2" s="180"/>
      <c r="D2" s="180"/>
      <c r="E2" s="180"/>
      <c r="F2" s="180"/>
      <c r="G2" s="180"/>
      <c r="H2" s="180"/>
      <c r="I2" s="180"/>
      <c r="J2" s="110"/>
      <c r="K2" s="216"/>
    </row>
    <row r="3">
      <c r="A3" s="39"/>
      <c r="B3" s="161" t="s">
        <v>588</v>
      </c>
      <c r="C3" s="162" t="s">
        <v>114</v>
      </c>
      <c r="D3" s="162" t="s">
        <v>115</v>
      </c>
      <c r="E3" s="162"/>
      <c r="F3" s="162"/>
      <c r="G3" s="162"/>
      <c r="H3" s="162"/>
      <c r="I3" s="163"/>
      <c r="J3" s="110"/>
      <c r="K3" s="216"/>
    </row>
    <row r="4">
      <c r="A4" s="39"/>
      <c r="B4" s="217" t="s">
        <v>589</v>
      </c>
      <c r="C4" s="171" t="s">
        <v>547</v>
      </c>
      <c r="D4" s="171" t="s">
        <v>547</v>
      </c>
      <c r="E4" s="218" t="s">
        <v>590</v>
      </c>
      <c r="F4" s="219"/>
      <c r="G4" s="219"/>
      <c r="H4" s="220"/>
      <c r="I4" s="221"/>
      <c r="J4" s="110"/>
      <c r="K4" s="216"/>
    </row>
    <row r="5">
      <c r="A5" s="39"/>
      <c r="B5" s="39"/>
      <c r="C5" s="39"/>
      <c r="D5" s="39"/>
      <c r="E5" s="39"/>
      <c r="F5" s="39"/>
      <c r="G5" s="39"/>
      <c r="H5" s="39"/>
      <c r="I5" s="39"/>
      <c r="J5" s="39"/>
      <c r="K5" s="216"/>
    </row>
    <row r="6">
      <c r="A6" s="39"/>
      <c r="B6" s="192" t="s">
        <v>558</v>
      </c>
      <c r="C6" s="180"/>
      <c r="D6" s="180"/>
      <c r="E6" s="180"/>
      <c r="F6" s="180"/>
      <c r="G6" s="180"/>
      <c r="H6" s="180"/>
      <c r="I6" s="180"/>
      <c r="J6" s="180"/>
      <c r="K6" s="193" t="s">
        <v>263</v>
      </c>
    </row>
    <row r="7">
      <c r="A7" s="39"/>
      <c r="B7" s="194" t="s">
        <v>560</v>
      </c>
      <c r="C7" s="181" t="s">
        <v>561</v>
      </c>
      <c r="D7" s="181" t="s">
        <v>562</v>
      </c>
      <c r="E7" s="181" t="s">
        <v>148</v>
      </c>
      <c r="F7" s="181" t="s">
        <v>563</v>
      </c>
      <c r="G7" s="181" t="s">
        <v>564</v>
      </c>
      <c r="H7" s="181" t="s">
        <v>565</v>
      </c>
      <c r="I7" s="181" t="s">
        <v>566</v>
      </c>
      <c r="J7" s="181" t="s">
        <v>567</v>
      </c>
      <c r="K7" s="181" t="s">
        <v>2</v>
      </c>
    </row>
    <row r="8">
      <c r="A8" s="39"/>
      <c r="B8" s="195">
        <v>124.0</v>
      </c>
      <c r="C8" s="195" t="s">
        <v>547</v>
      </c>
      <c r="D8" s="195" t="s">
        <v>570</v>
      </c>
      <c r="E8" s="195" t="s">
        <v>237</v>
      </c>
      <c r="F8" s="196"/>
      <c r="G8" s="196"/>
      <c r="H8" s="196"/>
      <c r="I8" s="196"/>
      <c r="J8" s="196"/>
      <c r="K8" s="197" t="s">
        <v>569</v>
      </c>
    </row>
    <row r="9">
      <c r="A9" s="39"/>
      <c r="B9" s="195">
        <v>125.0</v>
      </c>
      <c r="C9" s="195" t="s">
        <v>547</v>
      </c>
      <c r="D9" s="195" t="s">
        <v>570</v>
      </c>
      <c r="E9" s="195" t="s">
        <v>237</v>
      </c>
      <c r="F9" s="196"/>
      <c r="G9" s="196"/>
      <c r="H9" s="196"/>
      <c r="I9" s="196"/>
      <c r="J9" s="196"/>
      <c r="K9" s="197" t="s">
        <v>569</v>
      </c>
    </row>
    <row r="10">
      <c r="A10" s="39"/>
      <c r="B10" s="40"/>
    </row>
    <row r="11">
      <c r="A11" s="40">
        <v>2.0</v>
      </c>
      <c r="B11" s="40" t="s">
        <v>571</v>
      </c>
    </row>
    <row r="13">
      <c r="A13" s="42"/>
      <c r="B13" s="192" t="s">
        <v>572</v>
      </c>
      <c r="C13" s="180"/>
      <c r="D13" s="180"/>
      <c r="E13" s="180"/>
      <c r="F13" s="180"/>
      <c r="G13" s="222"/>
      <c r="I13" s="179" t="s">
        <v>573</v>
      </c>
      <c r="J13" s="180"/>
      <c r="K13" s="180"/>
      <c r="L13" s="180"/>
      <c r="M13" s="180"/>
    </row>
    <row r="14">
      <c r="A14" s="42"/>
      <c r="B14" s="161" t="s">
        <v>591</v>
      </c>
      <c r="C14" s="162" t="s">
        <v>565</v>
      </c>
      <c r="D14" s="162" t="s">
        <v>566</v>
      </c>
      <c r="E14" s="198" t="s">
        <v>560</v>
      </c>
      <c r="F14" s="162" t="s">
        <v>561</v>
      </c>
      <c r="G14" s="163" t="s">
        <v>148</v>
      </c>
      <c r="I14" s="199" t="s">
        <v>1</v>
      </c>
      <c r="J14" s="199" t="s">
        <v>541</v>
      </c>
      <c r="K14" s="199" t="s">
        <v>542</v>
      </c>
      <c r="L14" s="199" t="s">
        <v>543</v>
      </c>
      <c r="M14" s="199" t="s">
        <v>576</v>
      </c>
    </row>
    <row r="15" ht="15.75" customHeight="1">
      <c r="B15" s="200"/>
      <c r="C15" s="201"/>
      <c r="D15" s="201"/>
      <c r="E15" s="201"/>
      <c r="F15" s="201"/>
      <c r="G15" s="202"/>
      <c r="I15" s="195">
        <v>1.0</v>
      </c>
      <c r="J15" s="195" t="s">
        <v>549</v>
      </c>
      <c r="K15" s="195" t="s">
        <v>550</v>
      </c>
      <c r="L15" s="195" t="s">
        <v>551</v>
      </c>
      <c r="M15" s="195">
        <v>100.0</v>
      </c>
    </row>
    <row r="16" ht="15.75" customHeight="1">
      <c r="B16" s="203" t="s">
        <v>577</v>
      </c>
      <c r="C16" s="41" t="s">
        <v>578</v>
      </c>
      <c r="D16" s="41" t="s">
        <v>579</v>
      </c>
      <c r="G16" s="204"/>
      <c r="I16" s="195">
        <v>2.0</v>
      </c>
      <c r="J16" s="195" t="s">
        <v>552</v>
      </c>
      <c r="K16" s="195" t="s">
        <v>553</v>
      </c>
      <c r="L16" s="195" t="s">
        <v>551</v>
      </c>
      <c r="M16" s="195">
        <v>80.0</v>
      </c>
    </row>
    <row r="17" ht="15.75" customHeight="1">
      <c r="B17" s="205"/>
      <c r="C17" s="201"/>
      <c r="D17" s="201"/>
      <c r="G17" s="204"/>
      <c r="I17" s="195">
        <v>3.0</v>
      </c>
      <c r="J17" s="195" t="s">
        <v>554</v>
      </c>
      <c r="K17" s="195" t="s">
        <v>555</v>
      </c>
      <c r="L17" s="195" t="s">
        <v>551</v>
      </c>
      <c r="M17" s="195">
        <v>500.0</v>
      </c>
    </row>
    <row r="18" ht="15.75" customHeight="1">
      <c r="B18" s="203" t="s">
        <v>574</v>
      </c>
      <c r="C18" s="41" t="s">
        <v>563</v>
      </c>
      <c r="D18" s="41" t="s">
        <v>564</v>
      </c>
      <c r="E18" s="41" t="s">
        <v>583</v>
      </c>
      <c r="F18" s="41" t="s">
        <v>584</v>
      </c>
      <c r="G18" s="223" t="s">
        <v>585</v>
      </c>
      <c r="K18" s="19"/>
      <c r="L18" s="19"/>
      <c r="M18" s="19"/>
      <c r="N18" s="19"/>
      <c r="O18" s="19"/>
    </row>
    <row r="19" ht="15.75" customHeight="1">
      <c r="B19" s="207"/>
      <c r="C19" s="208"/>
      <c r="D19" s="208"/>
      <c r="E19" s="208"/>
      <c r="F19" s="208"/>
      <c r="G19" s="224"/>
      <c r="K19" s="19"/>
      <c r="L19" s="19"/>
      <c r="M19" s="19"/>
      <c r="N19" s="19"/>
      <c r="O19" s="19"/>
    </row>
    <row r="20" ht="15.75" customHeight="1">
      <c r="E20" s="41"/>
      <c r="F20" s="41"/>
      <c r="K20" s="19"/>
      <c r="L20" s="19"/>
      <c r="M20" s="19"/>
      <c r="N20" s="19"/>
      <c r="O20" s="19"/>
    </row>
    <row r="21" ht="15.75" customHeight="1">
      <c r="B21" s="179" t="s">
        <v>586</v>
      </c>
      <c r="C21" s="180"/>
      <c r="D21" s="180"/>
      <c r="E21" s="180"/>
      <c r="F21" s="180"/>
      <c r="G21" s="180"/>
      <c r="H21" s="180"/>
      <c r="I21" s="180"/>
      <c r="J21" s="180"/>
    </row>
    <row r="22" ht="15.75" customHeight="1">
      <c r="B22" s="181" t="s">
        <v>1</v>
      </c>
      <c r="C22" s="181" t="s">
        <v>541</v>
      </c>
      <c r="D22" s="181" t="s">
        <v>542</v>
      </c>
      <c r="E22" s="181" t="s">
        <v>543</v>
      </c>
      <c r="F22" s="181" t="s">
        <v>436</v>
      </c>
      <c r="G22" s="181" t="s">
        <v>167</v>
      </c>
      <c r="H22" s="181" t="s">
        <v>544</v>
      </c>
      <c r="I22" s="181" t="s">
        <v>545</v>
      </c>
      <c r="J22" s="181" t="s">
        <v>546</v>
      </c>
    </row>
    <row r="23" ht="15.75" customHeight="1">
      <c r="B23" s="182">
        <v>1.0</v>
      </c>
      <c r="C23" s="182" t="s">
        <v>549</v>
      </c>
      <c r="D23" s="182" t="s">
        <v>550</v>
      </c>
      <c r="E23" s="182" t="s">
        <v>551</v>
      </c>
      <c r="F23" s="182">
        <v>1.0</v>
      </c>
      <c r="G23" s="182">
        <v>0.0</v>
      </c>
      <c r="H23" s="182">
        <v>0.0</v>
      </c>
      <c r="I23" s="182">
        <v>0.0</v>
      </c>
      <c r="J23" s="182">
        <v>0.0</v>
      </c>
    </row>
    <row r="24" ht="15.75" customHeight="1">
      <c r="B24" s="182">
        <v>2.0</v>
      </c>
      <c r="C24" s="182" t="s">
        <v>552</v>
      </c>
      <c r="D24" s="182" t="s">
        <v>553</v>
      </c>
      <c r="E24" s="182" t="s">
        <v>551</v>
      </c>
      <c r="F24" s="182">
        <v>1.0</v>
      </c>
      <c r="G24" s="182">
        <v>0.0</v>
      </c>
      <c r="H24" s="182">
        <v>0.0</v>
      </c>
      <c r="I24" s="182">
        <v>0.0</v>
      </c>
      <c r="J24" s="182">
        <v>0.0</v>
      </c>
    </row>
    <row r="25" ht="15.75" customHeight="1">
      <c r="B25" s="182">
        <v>3.0</v>
      </c>
      <c r="C25" s="182" t="s">
        <v>554</v>
      </c>
      <c r="D25" s="182" t="s">
        <v>555</v>
      </c>
      <c r="E25" s="182" t="s">
        <v>551</v>
      </c>
      <c r="F25" s="182">
        <v>1.0</v>
      </c>
      <c r="G25" s="182">
        <v>0.0</v>
      </c>
      <c r="H25" s="182">
        <v>0.0</v>
      </c>
      <c r="I25" s="182">
        <v>0.0</v>
      </c>
      <c r="J25" s="182">
        <v>0.0</v>
      </c>
    </row>
    <row r="26" ht="15.75" customHeight="1">
      <c r="B26" s="181" t="s">
        <v>429</v>
      </c>
      <c r="C26" s="184"/>
      <c r="D26" s="184"/>
      <c r="E26" s="184"/>
      <c r="F26" s="184">
        <f>SUM(F23:F25)</f>
        <v>3</v>
      </c>
      <c r="G26" s="184"/>
      <c r="H26" s="184"/>
      <c r="I26" s="184">
        <f t="shared" ref="I26:J26" si="1">SUM(I23:I25)</f>
        <v>0</v>
      </c>
      <c r="J26" s="184">
        <f t="shared" si="1"/>
        <v>0</v>
      </c>
    </row>
    <row r="27" ht="15.75" customHeight="1"/>
    <row r="28" ht="15.75" customHeight="1">
      <c r="H28" s="197" t="s">
        <v>237</v>
      </c>
      <c r="I28" s="193" t="s">
        <v>592</v>
      </c>
      <c r="J28" s="193" t="s">
        <v>593</v>
      </c>
    </row>
    <row r="29" ht="15.75" customHeight="1">
      <c r="I29" s="19" t="s">
        <v>594</v>
      </c>
      <c r="J29" s="19" t="s">
        <v>595</v>
      </c>
    </row>
    <row r="30" ht="15.75" customHeight="1"/>
    <row r="31" ht="15.75" customHeight="1">
      <c r="B31" s="215"/>
      <c r="H31" s="161" t="s">
        <v>562</v>
      </c>
      <c r="I31" s="162" t="s">
        <v>574</v>
      </c>
      <c r="J31" s="162" t="s">
        <v>575</v>
      </c>
      <c r="K31" s="198" t="s">
        <v>560</v>
      </c>
      <c r="L31" s="162" t="s">
        <v>561</v>
      </c>
      <c r="M31" s="162" t="s">
        <v>148</v>
      </c>
      <c r="N31" s="162" t="s">
        <v>563</v>
      </c>
      <c r="O31" s="163" t="s">
        <v>564</v>
      </c>
    </row>
    <row r="32" ht="15.75" customHeight="1">
      <c r="H32" s="167" t="s">
        <v>568</v>
      </c>
      <c r="J32" s="201"/>
      <c r="K32" s="201"/>
      <c r="L32" s="201"/>
      <c r="M32" s="201"/>
      <c r="N32" s="201"/>
      <c r="O32" s="202"/>
    </row>
    <row r="33" ht="15.75" customHeight="1"/>
    <row r="34" ht="15.75" customHeight="1"/>
    <row r="35" ht="15.75" customHeight="1">
      <c r="A35" s="39">
        <v>2.0</v>
      </c>
      <c r="B35" s="40" t="s">
        <v>222</v>
      </c>
    </row>
    <row r="36" ht="15.75" customHeight="1"/>
    <row r="37" ht="15.75" customHeight="1"/>
    <row r="38" ht="15.75" customHeight="1"/>
    <row r="39" ht="15.75" customHeight="1">
      <c r="A39" s="40">
        <v>3.0</v>
      </c>
      <c r="B39" s="39" t="s">
        <v>129</v>
      </c>
    </row>
    <row r="40" ht="15.75" customHeight="1"/>
    <row r="41" ht="15.75" customHeight="1">
      <c r="B41" s="46" t="s">
        <v>1</v>
      </c>
      <c r="C41" s="47" t="s">
        <v>130</v>
      </c>
      <c r="D41" s="47" t="s">
        <v>131</v>
      </c>
      <c r="E41" s="47" t="s">
        <v>7</v>
      </c>
    </row>
    <row r="42" ht="15.75" customHeight="1">
      <c r="B42" s="48">
        <v>1.0</v>
      </c>
      <c r="C42" s="48" t="s">
        <v>132</v>
      </c>
      <c r="D42" s="51"/>
      <c r="E42" s="48"/>
    </row>
    <row r="43" ht="15.75" customHeight="1">
      <c r="B43" s="48">
        <v>2.0</v>
      </c>
      <c r="C43" s="52" t="s">
        <v>310</v>
      </c>
      <c r="D43" s="51"/>
      <c r="E43" s="48"/>
    </row>
    <row r="44" ht="15.75" customHeight="1">
      <c r="B44" s="48">
        <v>3.0</v>
      </c>
      <c r="C44" s="48" t="s">
        <v>263</v>
      </c>
      <c r="D44" s="51"/>
      <c r="E44" s="48"/>
    </row>
    <row r="45" ht="15.75" customHeight="1">
      <c r="B45" s="48">
        <v>4.0</v>
      </c>
      <c r="C45" s="52" t="s">
        <v>557</v>
      </c>
      <c r="D45" s="51"/>
      <c r="E45" s="105"/>
    </row>
    <row r="46" ht="15.75" customHeight="1">
      <c r="B46" s="48">
        <v>5.0</v>
      </c>
      <c r="C46" s="48" t="s">
        <v>265</v>
      </c>
      <c r="D46" s="51"/>
      <c r="E46" s="48"/>
    </row>
    <row r="47" ht="15.75" customHeight="1">
      <c r="B47" s="48">
        <v>6.0</v>
      </c>
      <c r="C47" s="48" t="s">
        <v>267</v>
      </c>
      <c r="D47" s="51"/>
      <c r="E47" s="48"/>
    </row>
    <row r="48" ht="15.75" customHeight="1">
      <c r="B48" s="48">
        <v>7.0</v>
      </c>
      <c r="C48" s="48" t="s">
        <v>235</v>
      </c>
      <c r="D48" s="51"/>
      <c r="E48" s="48"/>
    </row>
    <row r="49" ht="15.75" customHeight="1">
      <c r="B49" s="48">
        <v>8.0</v>
      </c>
      <c r="C49" s="48" t="s">
        <v>270</v>
      </c>
      <c r="D49" s="51"/>
      <c r="E49" s="48"/>
    </row>
    <row r="50" ht="15.75" customHeight="1">
      <c r="B50" s="48">
        <v>9.0</v>
      </c>
      <c r="C50" s="52" t="s">
        <v>237</v>
      </c>
      <c r="D50" s="51"/>
      <c r="E50" s="48"/>
    </row>
    <row r="51" ht="15.75" customHeight="1">
      <c r="B51" s="48">
        <v>10.0</v>
      </c>
      <c r="C51" s="52" t="s">
        <v>327</v>
      </c>
      <c r="D51" s="51"/>
      <c r="E51" s="109"/>
    </row>
    <row r="52" ht="15.75" customHeight="1">
      <c r="B52" s="48">
        <v>11.0</v>
      </c>
      <c r="C52" s="48" t="s">
        <v>258</v>
      </c>
      <c r="D52" s="51"/>
      <c r="E52" s="48"/>
    </row>
    <row r="53" ht="15.75" customHeight="1">
      <c r="B53" s="48">
        <v>12.0</v>
      </c>
      <c r="D53" s="51"/>
      <c r="E53" s="48"/>
    </row>
    <row r="54" ht="15.75" customHeight="1">
      <c r="B54" s="48">
        <v>13.0</v>
      </c>
      <c r="D54" s="51"/>
      <c r="E54" s="48"/>
    </row>
    <row r="55" ht="15.75" customHeight="1">
      <c r="B55" s="48"/>
      <c r="C55" s="52"/>
      <c r="D55" s="51"/>
      <c r="E55" s="48"/>
    </row>
    <row r="56" ht="15.75" customHeight="1">
      <c r="B56" s="52"/>
      <c r="C56" s="52"/>
      <c r="D56" s="51"/>
      <c r="E56" s="48"/>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sheetData>
  <mergeCells count="3">
    <mergeCell ref="G4:I4"/>
    <mergeCell ref="D16:G16"/>
    <mergeCell ref="D17:G17"/>
  </mergeCells>
  <dataValidations>
    <dataValidation type="list" allowBlank="1" showErrorMessage="1" sqref="E8:E9 G15 M32">
      <formula1>"Lưu tạm,Hoàn tất,Hủy"</formula1>
    </dataValidation>
    <dataValidation type="list" allowBlank="1" showErrorMessage="1" sqref="D8:D9 H32">
      <formula1>"Theo Hóa đơn,Theo Khách hàng"</formula1>
    </dataValidation>
    <dataValidation type="list" allowBlank="1" showErrorMessage="1" sqref="H8:H9 C15 E19">
      <formula1>"Nguyễn Văn A,Lê Thị B,Đỗ Văn D"</formula1>
    </dataValidation>
    <dataValidation type="list" allowBlank="1" showErrorMessage="1" sqref="B4">
      <formula1>"Chi nhánh 1,Chi nhánh 2"</formula1>
    </dataValidation>
  </dataValidations>
  <printOptions/>
  <pageMargins bottom="0.75" footer="0.0" header="0.0" left="0.7" right="0.7" top="0.75"/>
  <pageSetup orientation="landscape"/>
  <drawing r:id="rId2"/>
  <legacyDrawing r:id="rId3"/>
  <tableParts count="1">
    <tablePart r:id="rId5"/>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1.43"/>
    <col customWidth="1" min="3" max="3" width="23.0"/>
    <col customWidth="1" min="4" max="4" width="19.86"/>
    <col customWidth="1" min="5" max="5" width="18.29"/>
    <col customWidth="1" min="6" max="6" width="19.14"/>
    <col customWidth="1" min="7" max="7" width="18.0"/>
    <col customWidth="1" min="8" max="8" width="17.86"/>
    <col customWidth="1" min="9" max="9" width="19.86"/>
    <col customWidth="1" min="10" max="10" width="21.29"/>
  </cols>
  <sheetData>
    <row r="1">
      <c r="A1" s="39">
        <v>1.0</v>
      </c>
      <c r="B1" s="40" t="s">
        <v>596</v>
      </c>
    </row>
    <row r="2">
      <c r="B2" s="19" t="s">
        <v>597</v>
      </c>
    </row>
    <row r="3">
      <c r="A3" s="42"/>
      <c r="B3" s="192" t="s">
        <v>572</v>
      </c>
      <c r="C3" s="180"/>
      <c r="D3" s="180"/>
      <c r="E3" s="180"/>
      <c r="F3" s="180"/>
      <c r="G3" s="180"/>
      <c r="H3" s="180"/>
      <c r="I3" s="180"/>
    </row>
    <row r="4">
      <c r="A4" s="42"/>
      <c r="B4" s="161" t="s">
        <v>588</v>
      </c>
      <c r="C4" s="162" t="s">
        <v>114</v>
      </c>
      <c r="D4" s="162" t="s">
        <v>115</v>
      </c>
      <c r="E4" s="162"/>
      <c r="F4" s="162"/>
      <c r="G4" s="162"/>
      <c r="H4" s="162"/>
      <c r="I4" s="163"/>
    </row>
    <row r="5" ht="15.75" customHeight="1">
      <c r="B5" s="217" t="s">
        <v>589</v>
      </c>
      <c r="C5" s="171" t="s">
        <v>547</v>
      </c>
      <c r="D5" s="171" t="s">
        <v>547</v>
      </c>
      <c r="E5" s="218" t="s">
        <v>590</v>
      </c>
      <c r="F5" s="219"/>
      <c r="G5" s="219"/>
      <c r="H5" s="220"/>
      <c r="I5" s="221"/>
    </row>
    <row r="6" ht="15.75" customHeight="1">
      <c r="B6" s="179" t="s">
        <v>598</v>
      </c>
      <c r="C6" s="180"/>
      <c r="D6" s="180"/>
      <c r="E6" s="180"/>
      <c r="F6" s="180"/>
      <c r="G6" s="180"/>
      <c r="H6" s="180"/>
      <c r="I6" s="180"/>
    </row>
    <row r="7" ht="15.75" customHeight="1">
      <c r="B7" s="181" t="s">
        <v>599</v>
      </c>
      <c r="C7" s="181" t="s">
        <v>574</v>
      </c>
      <c r="D7" s="181" t="s">
        <v>563</v>
      </c>
      <c r="E7" s="181" t="s">
        <v>564</v>
      </c>
      <c r="F7" s="181" t="s">
        <v>565</v>
      </c>
      <c r="G7" s="181" t="s">
        <v>566</v>
      </c>
      <c r="H7" s="181" t="s">
        <v>567</v>
      </c>
      <c r="I7" s="181" t="s">
        <v>579</v>
      </c>
    </row>
    <row r="8" ht="15.75" customHeight="1">
      <c r="B8" s="182" t="b">
        <v>1</v>
      </c>
      <c r="C8" s="182">
        <v>1251.0</v>
      </c>
      <c r="D8" s="182">
        <v>1251.0</v>
      </c>
      <c r="E8" s="182" t="s">
        <v>547</v>
      </c>
      <c r="F8" s="182"/>
      <c r="G8" s="182"/>
      <c r="H8" s="182"/>
      <c r="I8" s="183"/>
    </row>
    <row r="9" ht="15.75" customHeight="1">
      <c r="B9" s="182" t="b">
        <v>0</v>
      </c>
      <c r="C9" s="182">
        <v>1252.0</v>
      </c>
      <c r="D9" s="182">
        <v>1252.0</v>
      </c>
      <c r="E9" s="182" t="s">
        <v>547</v>
      </c>
      <c r="F9" s="182"/>
      <c r="G9" s="182"/>
      <c r="H9" s="182"/>
      <c r="I9" s="183"/>
    </row>
    <row r="10" ht="15.75" customHeight="1">
      <c r="B10" s="182" t="b">
        <v>0</v>
      </c>
      <c r="C10" s="182">
        <v>1253.0</v>
      </c>
      <c r="D10" s="182">
        <v>1253.0</v>
      </c>
      <c r="E10" s="182" t="s">
        <v>547</v>
      </c>
      <c r="F10" s="182"/>
      <c r="G10" s="182"/>
      <c r="H10" s="182"/>
      <c r="I10" s="183"/>
    </row>
    <row r="11" ht="15.75" customHeight="1">
      <c r="B11" s="181" t="s">
        <v>429</v>
      </c>
      <c r="C11" s="181">
        <v>3.0</v>
      </c>
      <c r="D11" s="183"/>
      <c r="E11" s="184"/>
      <c r="F11" s="184"/>
      <c r="G11" s="184"/>
      <c r="H11" s="183"/>
      <c r="I11" s="184"/>
    </row>
    <row r="12" ht="15.75" customHeight="1">
      <c r="B12" s="225"/>
      <c r="C12" s="226"/>
      <c r="D12" s="226"/>
      <c r="E12" s="226"/>
      <c r="F12" s="226"/>
      <c r="G12" s="226"/>
      <c r="H12" s="226"/>
      <c r="I12" s="227" t="s">
        <v>235</v>
      </c>
    </row>
    <row r="13" ht="15.75" customHeight="1"/>
    <row r="14" ht="15.75" customHeight="1"/>
    <row r="15" ht="15.75" customHeight="1"/>
    <row r="16" ht="15.75" customHeight="1">
      <c r="B16" s="215"/>
    </row>
    <row r="17" ht="15.75" customHeight="1"/>
    <row r="18" ht="15.75" customHeight="1"/>
    <row r="19" ht="15.75" customHeight="1"/>
    <row r="20" ht="15.75" customHeight="1">
      <c r="A20" s="39">
        <v>2.0</v>
      </c>
      <c r="B20" s="40" t="s">
        <v>222</v>
      </c>
    </row>
    <row r="21" ht="15.75" customHeight="1"/>
    <row r="22" ht="15.75" customHeight="1"/>
    <row r="23" ht="15.75" customHeight="1"/>
    <row r="24" ht="15.75" customHeight="1">
      <c r="A24" s="40">
        <v>3.0</v>
      </c>
      <c r="B24" s="39" t="s">
        <v>129</v>
      </c>
    </row>
    <row r="25" ht="15.75" customHeight="1"/>
    <row r="26" ht="15.75" customHeight="1">
      <c r="B26" s="46" t="s">
        <v>1</v>
      </c>
      <c r="C26" s="47" t="s">
        <v>130</v>
      </c>
      <c r="D26" s="47" t="s">
        <v>131</v>
      </c>
      <c r="E26" s="47" t="s">
        <v>7</v>
      </c>
    </row>
    <row r="27" ht="15.75" customHeight="1">
      <c r="B27" s="48">
        <v>1.0</v>
      </c>
      <c r="C27" s="48" t="s">
        <v>132</v>
      </c>
      <c r="D27" s="51"/>
      <c r="E27" s="48"/>
    </row>
    <row r="28" ht="15.75" customHeight="1">
      <c r="B28" s="48">
        <v>2.0</v>
      </c>
      <c r="C28" s="52" t="s">
        <v>310</v>
      </c>
      <c r="D28" s="51"/>
      <c r="E28" s="48"/>
    </row>
    <row r="29" ht="15.75" customHeight="1">
      <c r="B29" s="48">
        <v>3.0</v>
      </c>
      <c r="C29" s="48" t="s">
        <v>263</v>
      </c>
      <c r="D29" s="51"/>
      <c r="E29" s="48"/>
    </row>
    <row r="30" ht="15.75" customHeight="1">
      <c r="B30" s="48">
        <v>4.0</v>
      </c>
      <c r="C30" s="52" t="s">
        <v>557</v>
      </c>
      <c r="D30" s="51"/>
      <c r="E30" s="105"/>
    </row>
    <row r="31" ht="15.75" customHeight="1">
      <c r="B31" s="48">
        <v>5.0</v>
      </c>
      <c r="C31" s="48" t="s">
        <v>265</v>
      </c>
      <c r="D31" s="51"/>
      <c r="E31" s="48"/>
    </row>
    <row r="32" ht="15.75" customHeight="1">
      <c r="B32" s="48">
        <v>6.0</v>
      </c>
      <c r="C32" s="48" t="s">
        <v>267</v>
      </c>
      <c r="D32" s="51"/>
      <c r="E32" s="48"/>
    </row>
    <row r="33" ht="15.75" customHeight="1">
      <c r="B33" s="48">
        <v>7.0</v>
      </c>
      <c r="C33" s="48" t="s">
        <v>235</v>
      </c>
      <c r="D33" s="51"/>
      <c r="E33" s="48"/>
    </row>
    <row r="34" ht="15.75" customHeight="1">
      <c r="B34" s="48">
        <v>8.0</v>
      </c>
      <c r="C34" s="48" t="s">
        <v>270</v>
      </c>
      <c r="D34" s="51"/>
      <c r="E34" s="48"/>
    </row>
    <row r="35" ht="15.75" customHeight="1">
      <c r="B35" s="48">
        <v>9.0</v>
      </c>
      <c r="C35" s="52" t="s">
        <v>237</v>
      </c>
      <c r="D35" s="51"/>
      <c r="E35" s="48"/>
    </row>
    <row r="36" ht="15.75" customHeight="1">
      <c r="B36" s="48">
        <v>10.0</v>
      </c>
      <c r="C36" s="52" t="s">
        <v>327</v>
      </c>
      <c r="D36" s="51"/>
      <c r="E36" s="109"/>
    </row>
    <row r="37" ht="15.75" customHeight="1">
      <c r="B37" s="48">
        <v>11.0</v>
      </c>
      <c r="C37" s="48" t="s">
        <v>258</v>
      </c>
      <c r="D37" s="51"/>
      <c r="E37" s="48"/>
    </row>
    <row r="38" ht="15.75" customHeight="1">
      <c r="B38" s="48">
        <v>12.0</v>
      </c>
      <c r="D38" s="51"/>
      <c r="E38" s="48"/>
    </row>
    <row r="39" ht="15.75" customHeight="1">
      <c r="B39" s="48">
        <v>13.0</v>
      </c>
      <c r="D39" s="51"/>
      <c r="E39" s="48"/>
    </row>
    <row r="40" ht="15.75" customHeight="1">
      <c r="B40" s="48"/>
      <c r="C40" s="52"/>
      <c r="D40" s="51"/>
      <c r="E40" s="48"/>
    </row>
    <row r="41" ht="15.75" customHeight="1">
      <c r="B41" s="52"/>
      <c r="C41" s="52"/>
      <c r="D41" s="51"/>
      <c r="E41" s="48"/>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
    <mergeCell ref="G5:I5"/>
  </mergeCells>
  <dataValidations>
    <dataValidation type="list" allowBlank="1" showErrorMessage="1" sqref="B5">
      <formula1>"Chi nhánh 1,Chi nhánh 2"</formula1>
    </dataValidation>
  </dataValidations>
  <printOptions/>
  <pageMargins bottom="0.75" footer="0.0" header="0.0" left="0.7" right="0.7" top="0.75"/>
  <pageSetup orientation="landscape"/>
  <drawing r:id="rId2"/>
  <legacyDrawing r:id="rId3"/>
  <tableParts count="1">
    <tablePart r:id="rId5"/>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1.43"/>
    <col customWidth="1" min="3" max="3" width="23.0"/>
    <col customWidth="1" min="4" max="4" width="19.86"/>
    <col customWidth="1" min="5" max="5" width="18.29"/>
    <col customWidth="1" min="6" max="6" width="16.43"/>
    <col customWidth="1" min="7" max="7" width="18.0"/>
    <col customWidth="1" min="8" max="8" width="17.86"/>
    <col customWidth="1" min="9" max="9" width="22.14"/>
    <col customWidth="1" min="10" max="10" width="21.29"/>
  </cols>
  <sheetData>
    <row r="1">
      <c r="A1" s="39">
        <v>1.0</v>
      </c>
      <c r="B1" s="40" t="s">
        <v>600</v>
      </c>
    </row>
    <row r="3">
      <c r="A3" s="42"/>
      <c r="B3" s="192" t="s">
        <v>572</v>
      </c>
      <c r="C3" s="180"/>
      <c r="D3" s="180"/>
      <c r="E3" s="180"/>
      <c r="F3" s="180"/>
      <c r="G3" s="180"/>
      <c r="H3" s="180"/>
      <c r="I3" s="180"/>
    </row>
    <row r="4">
      <c r="A4" s="42"/>
      <c r="B4" s="161" t="s">
        <v>588</v>
      </c>
      <c r="C4" s="162" t="s">
        <v>114</v>
      </c>
      <c r="D4" s="162" t="s">
        <v>115</v>
      </c>
      <c r="E4" s="162" t="s">
        <v>562</v>
      </c>
      <c r="F4" s="162"/>
      <c r="G4" s="162"/>
      <c r="H4" s="162"/>
      <c r="I4" s="163"/>
    </row>
    <row r="5" ht="15.75" customHeight="1">
      <c r="B5" s="217"/>
      <c r="C5" s="219"/>
      <c r="D5" s="219"/>
      <c r="E5" s="171" t="s">
        <v>570</v>
      </c>
      <c r="F5" s="228" t="s">
        <v>590</v>
      </c>
      <c r="G5" s="228" t="s">
        <v>601</v>
      </c>
      <c r="H5" s="219"/>
      <c r="I5" s="229"/>
    </row>
    <row r="6" ht="15.75" customHeight="1">
      <c r="B6" s="179" t="s">
        <v>598</v>
      </c>
      <c r="C6" s="180"/>
      <c r="D6" s="180"/>
      <c r="E6" s="180"/>
      <c r="F6" s="180"/>
      <c r="G6" s="180"/>
      <c r="H6" s="180"/>
      <c r="I6" s="180"/>
      <c r="J6" s="180"/>
    </row>
    <row r="7" ht="15.75" customHeight="1">
      <c r="B7" s="181" t="s">
        <v>1</v>
      </c>
      <c r="C7" s="181" t="s">
        <v>602</v>
      </c>
      <c r="D7" s="181" t="s">
        <v>603</v>
      </c>
      <c r="E7" s="181" t="s">
        <v>604</v>
      </c>
      <c r="F7" s="181" t="s">
        <v>543</v>
      </c>
      <c r="G7" s="181" t="s">
        <v>436</v>
      </c>
      <c r="H7" s="181" t="s">
        <v>583</v>
      </c>
      <c r="I7" s="181" t="s">
        <v>605</v>
      </c>
      <c r="J7" s="181" t="s">
        <v>606</v>
      </c>
    </row>
    <row r="8" ht="15.75" customHeight="1">
      <c r="B8" s="182">
        <v>1.0</v>
      </c>
      <c r="C8" s="183"/>
      <c r="D8" s="183"/>
      <c r="E8" s="182" t="s">
        <v>550</v>
      </c>
      <c r="F8" s="182" t="s">
        <v>551</v>
      </c>
      <c r="G8" s="182">
        <v>1.0</v>
      </c>
      <c r="H8" s="183"/>
      <c r="I8" s="182"/>
      <c r="J8" s="182"/>
    </row>
    <row r="9" ht="15.75" customHeight="1">
      <c r="B9" s="182">
        <v>2.0</v>
      </c>
      <c r="C9" s="183"/>
      <c r="D9" s="183"/>
      <c r="E9" s="182" t="s">
        <v>553</v>
      </c>
      <c r="F9" s="182" t="s">
        <v>551</v>
      </c>
      <c r="G9" s="182">
        <v>1.0</v>
      </c>
      <c r="H9" s="183"/>
      <c r="I9" s="182"/>
      <c r="J9" s="182"/>
    </row>
    <row r="10" ht="15.75" customHeight="1">
      <c r="B10" s="182">
        <v>3.0</v>
      </c>
      <c r="C10" s="183"/>
      <c r="D10" s="183"/>
      <c r="E10" s="182" t="s">
        <v>555</v>
      </c>
      <c r="F10" s="182" t="s">
        <v>551</v>
      </c>
      <c r="G10" s="182">
        <v>1.0</v>
      </c>
      <c r="H10" s="183"/>
      <c r="I10" s="182"/>
      <c r="J10" s="182"/>
    </row>
    <row r="11" ht="15.75" customHeight="1">
      <c r="B11" s="181" t="s">
        <v>429</v>
      </c>
      <c r="C11" s="183"/>
      <c r="D11" s="183"/>
      <c r="E11" s="184"/>
      <c r="F11" s="184"/>
      <c r="G11" s="184">
        <f>SUM(G8:G10)</f>
        <v>3</v>
      </c>
      <c r="H11" s="183"/>
      <c r="I11" s="184"/>
      <c r="J11" s="184"/>
    </row>
    <row r="12" ht="15.75" customHeight="1"/>
    <row r="13" ht="15.75" customHeight="1"/>
    <row r="14" ht="15.75" customHeight="1"/>
    <row r="15" ht="15.75" customHeight="1"/>
    <row r="16" ht="15.75" customHeight="1">
      <c r="B16" s="215"/>
    </row>
    <row r="17" ht="15.75" customHeight="1"/>
    <row r="18" ht="15.75" customHeight="1"/>
    <row r="19" ht="15.75" customHeight="1"/>
    <row r="20" ht="15.75" customHeight="1">
      <c r="A20" s="39">
        <v>2.0</v>
      </c>
      <c r="B20" s="40" t="s">
        <v>222</v>
      </c>
    </row>
    <row r="21" ht="15.75" customHeight="1"/>
    <row r="22" ht="15.75" customHeight="1"/>
    <row r="23" ht="15.75" customHeight="1"/>
    <row r="24" ht="15.75" customHeight="1">
      <c r="A24" s="40">
        <v>3.0</v>
      </c>
      <c r="B24" s="39" t="s">
        <v>129</v>
      </c>
    </row>
    <row r="25" ht="15.75" customHeight="1"/>
    <row r="26" ht="15.75" customHeight="1">
      <c r="B26" s="46" t="s">
        <v>1</v>
      </c>
      <c r="C26" s="47" t="s">
        <v>130</v>
      </c>
      <c r="D26" s="47" t="s">
        <v>131</v>
      </c>
      <c r="E26" s="47" t="s">
        <v>7</v>
      </c>
    </row>
    <row r="27" ht="15.75" customHeight="1">
      <c r="B27" s="48">
        <v>1.0</v>
      </c>
      <c r="C27" s="48" t="s">
        <v>132</v>
      </c>
      <c r="D27" s="51"/>
      <c r="E27" s="48"/>
    </row>
    <row r="28" ht="15.75" customHeight="1">
      <c r="B28" s="48">
        <v>2.0</v>
      </c>
      <c r="C28" s="52" t="s">
        <v>310</v>
      </c>
      <c r="D28" s="51"/>
      <c r="E28" s="48"/>
    </row>
    <row r="29" ht="15.75" customHeight="1">
      <c r="B29" s="48">
        <v>3.0</v>
      </c>
      <c r="C29" s="48" t="s">
        <v>263</v>
      </c>
      <c r="D29" s="51"/>
      <c r="E29" s="48"/>
    </row>
    <row r="30" ht="15.75" customHeight="1">
      <c r="B30" s="48">
        <v>4.0</v>
      </c>
      <c r="C30" s="52" t="s">
        <v>557</v>
      </c>
      <c r="D30" s="51"/>
      <c r="E30" s="105"/>
    </row>
    <row r="31" ht="15.75" customHeight="1">
      <c r="B31" s="48">
        <v>5.0</v>
      </c>
      <c r="C31" s="48" t="s">
        <v>265</v>
      </c>
      <c r="D31" s="51"/>
      <c r="E31" s="48"/>
    </row>
    <row r="32" ht="15.75" customHeight="1">
      <c r="B32" s="48">
        <v>6.0</v>
      </c>
      <c r="C32" s="48" t="s">
        <v>267</v>
      </c>
      <c r="D32" s="51"/>
      <c r="E32" s="48"/>
    </row>
    <row r="33" ht="15.75" customHeight="1">
      <c r="B33" s="48">
        <v>7.0</v>
      </c>
      <c r="C33" s="48" t="s">
        <v>235</v>
      </c>
      <c r="D33" s="51"/>
      <c r="E33" s="48"/>
    </row>
    <row r="34" ht="15.75" customHeight="1">
      <c r="B34" s="48">
        <v>8.0</v>
      </c>
      <c r="C34" s="48" t="s">
        <v>270</v>
      </c>
      <c r="D34" s="51"/>
      <c r="E34" s="48"/>
    </row>
    <row r="35" ht="15.75" customHeight="1">
      <c r="B35" s="48">
        <v>9.0</v>
      </c>
      <c r="C35" s="52" t="s">
        <v>237</v>
      </c>
      <c r="D35" s="51"/>
      <c r="E35" s="48"/>
    </row>
    <row r="36" ht="15.75" customHeight="1">
      <c r="B36" s="48">
        <v>10.0</v>
      </c>
      <c r="C36" s="52" t="s">
        <v>327</v>
      </c>
      <c r="D36" s="51"/>
      <c r="E36" s="109"/>
    </row>
    <row r="37" ht="15.75" customHeight="1">
      <c r="B37" s="48">
        <v>11.0</v>
      </c>
      <c r="C37" s="48" t="s">
        <v>258</v>
      </c>
      <c r="D37" s="51"/>
      <c r="E37" s="48"/>
    </row>
    <row r="38" ht="15.75" customHeight="1">
      <c r="B38" s="48">
        <v>12.0</v>
      </c>
      <c r="D38" s="51"/>
      <c r="E38" s="48"/>
    </row>
    <row r="39" ht="15.75" customHeight="1">
      <c r="B39" s="48">
        <v>13.0</v>
      </c>
      <c r="D39" s="51"/>
      <c r="E39" s="48"/>
    </row>
    <row r="40" ht="15.75" customHeight="1">
      <c r="B40" s="48"/>
      <c r="C40" s="52"/>
      <c r="D40" s="51"/>
      <c r="E40" s="48"/>
    </row>
    <row r="41" ht="15.75" customHeight="1">
      <c r="B41" s="52"/>
      <c r="C41" s="52"/>
      <c r="D41" s="51"/>
      <c r="E41" s="48"/>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dataValidations>
    <dataValidation type="list" allowBlank="1" showErrorMessage="1" sqref="E5">
      <formula1>"Theo Hóa đơn,Theo Khách hàng"</formula1>
    </dataValidation>
  </dataValidations>
  <printOptions/>
  <pageMargins bottom="0.75" footer="0.0" header="0.0" left="0.7" right="0.7" top="0.75"/>
  <pageSetup orientation="landscape"/>
  <drawing r:id="rId2"/>
  <legacyDrawing r:id="rId3"/>
  <tableParts count="1">
    <tablePart r:id="rId5"/>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1.43"/>
    <col customWidth="1" min="3" max="3" width="23.0"/>
    <col customWidth="1" min="4" max="4" width="19.86"/>
    <col customWidth="1" min="5" max="5" width="18.29"/>
    <col customWidth="1" min="6" max="6" width="16.43"/>
    <col customWidth="1" min="7" max="7" width="18.0"/>
    <col customWidth="1" min="8" max="8" width="17.86"/>
    <col customWidth="1" min="9" max="9" width="22.14"/>
    <col customWidth="1" min="10" max="10" width="21.29"/>
  </cols>
  <sheetData>
    <row r="1">
      <c r="A1" s="39">
        <v>1.0</v>
      </c>
      <c r="B1" s="40" t="s">
        <v>607</v>
      </c>
    </row>
    <row r="3">
      <c r="A3" s="42"/>
      <c r="B3" s="192" t="s">
        <v>572</v>
      </c>
      <c r="C3" s="180"/>
      <c r="D3" s="180"/>
      <c r="E3" s="180"/>
      <c r="F3" s="180"/>
    </row>
    <row r="4">
      <c r="A4" s="42"/>
      <c r="B4" s="161" t="s">
        <v>588</v>
      </c>
      <c r="C4" s="162" t="s">
        <v>114</v>
      </c>
      <c r="D4" s="162" t="s">
        <v>115</v>
      </c>
      <c r="E4" s="162" t="s">
        <v>562</v>
      </c>
      <c r="F4" s="162"/>
    </row>
    <row r="5" ht="15.75" customHeight="1">
      <c r="B5" s="217"/>
      <c r="C5" s="171" t="s">
        <v>547</v>
      </c>
      <c r="D5" s="171" t="s">
        <v>547</v>
      </c>
      <c r="E5" s="171" t="s">
        <v>570</v>
      </c>
      <c r="F5" s="228" t="s">
        <v>590</v>
      </c>
    </row>
    <row r="6" ht="15.75" customHeight="1">
      <c r="B6" s="179" t="s">
        <v>598</v>
      </c>
      <c r="C6" s="180"/>
      <c r="D6" s="180"/>
      <c r="E6" s="180"/>
      <c r="F6" s="180"/>
    </row>
    <row r="7" ht="15.75" customHeight="1">
      <c r="B7" s="181" t="s">
        <v>1</v>
      </c>
      <c r="C7" s="181" t="s">
        <v>561</v>
      </c>
      <c r="D7" s="181" t="s">
        <v>604</v>
      </c>
      <c r="E7" s="181" t="s">
        <v>543</v>
      </c>
      <c r="F7" s="181" t="s">
        <v>436</v>
      </c>
    </row>
    <row r="8" ht="15.75" customHeight="1">
      <c r="B8" s="182">
        <v>1.0</v>
      </c>
      <c r="C8" s="171" t="s">
        <v>547</v>
      </c>
      <c r="D8" s="182" t="s">
        <v>550</v>
      </c>
      <c r="E8" s="182" t="s">
        <v>551</v>
      </c>
      <c r="F8" s="182">
        <v>1.0</v>
      </c>
    </row>
    <row r="9" ht="15.75" customHeight="1">
      <c r="B9" s="182">
        <v>2.0</v>
      </c>
      <c r="C9" s="171" t="s">
        <v>547</v>
      </c>
      <c r="D9" s="182" t="s">
        <v>553</v>
      </c>
      <c r="E9" s="182" t="s">
        <v>551</v>
      </c>
      <c r="F9" s="182">
        <v>1.0</v>
      </c>
    </row>
    <row r="10" ht="15.75" customHeight="1">
      <c r="B10" s="182">
        <v>3.0</v>
      </c>
      <c r="C10" s="171" t="s">
        <v>547</v>
      </c>
      <c r="D10" s="182" t="s">
        <v>555</v>
      </c>
      <c r="E10" s="182" t="s">
        <v>551</v>
      </c>
      <c r="F10" s="182">
        <v>1.0</v>
      </c>
    </row>
    <row r="11" ht="15.75" customHeight="1">
      <c r="B11" s="181" t="s">
        <v>429</v>
      </c>
      <c r="C11" s="183"/>
      <c r="D11" s="183"/>
      <c r="E11" s="184"/>
      <c r="F11" s="181">
        <v>3.0</v>
      </c>
    </row>
    <row r="12" ht="15.75" customHeight="1"/>
    <row r="13" ht="15.75" customHeight="1"/>
    <row r="14" ht="15.75" customHeight="1"/>
    <row r="15" ht="15.75" customHeight="1"/>
    <row r="16" ht="15.75" customHeight="1">
      <c r="B16" s="215"/>
    </row>
    <row r="17" ht="15.75" customHeight="1"/>
    <row r="18" ht="15.75" customHeight="1"/>
    <row r="19" ht="15.75" customHeight="1"/>
    <row r="20" ht="15.75" customHeight="1">
      <c r="A20" s="39">
        <v>2.0</v>
      </c>
      <c r="B20" s="40" t="s">
        <v>222</v>
      </c>
    </row>
    <row r="21" ht="15.75" customHeight="1"/>
    <row r="22" ht="15.75" customHeight="1"/>
    <row r="23" ht="15.75" customHeight="1"/>
    <row r="24" ht="15.75" customHeight="1">
      <c r="A24" s="40">
        <v>3.0</v>
      </c>
      <c r="B24" s="39" t="s">
        <v>129</v>
      </c>
    </row>
    <row r="25" ht="15.75" customHeight="1"/>
    <row r="26" ht="15.75" customHeight="1">
      <c r="B26" s="46" t="s">
        <v>1</v>
      </c>
      <c r="C26" s="47" t="s">
        <v>130</v>
      </c>
      <c r="D26" s="47" t="s">
        <v>131</v>
      </c>
      <c r="E26" s="47" t="s">
        <v>7</v>
      </c>
    </row>
    <row r="27" ht="15.75" customHeight="1">
      <c r="B27" s="48">
        <v>1.0</v>
      </c>
      <c r="C27" s="48" t="s">
        <v>132</v>
      </c>
      <c r="D27" s="51"/>
      <c r="E27" s="48"/>
    </row>
    <row r="28" ht="15.75" customHeight="1">
      <c r="B28" s="48">
        <v>2.0</v>
      </c>
      <c r="C28" s="52" t="s">
        <v>310</v>
      </c>
      <c r="D28" s="51"/>
      <c r="E28" s="48"/>
    </row>
    <row r="29" ht="15.75" customHeight="1">
      <c r="B29" s="48">
        <v>3.0</v>
      </c>
      <c r="C29" s="48" t="s">
        <v>263</v>
      </c>
      <c r="D29" s="51"/>
      <c r="E29" s="48"/>
    </row>
    <row r="30" ht="15.75" customHeight="1">
      <c r="B30" s="48">
        <v>4.0</v>
      </c>
      <c r="C30" s="52" t="s">
        <v>557</v>
      </c>
      <c r="D30" s="51"/>
      <c r="E30" s="105"/>
    </row>
    <row r="31" ht="15.75" customHeight="1">
      <c r="B31" s="48">
        <v>5.0</v>
      </c>
      <c r="C31" s="48" t="s">
        <v>265</v>
      </c>
      <c r="D31" s="51"/>
      <c r="E31" s="48"/>
    </row>
    <row r="32" ht="15.75" customHeight="1">
      <c r="B32" s="48">
        <v>6.0</v>
      </c>
      <c r="C32" s="48" t="s">
        <v>267</v>
      </c>
      <c r="D32" s="51"/>
      <c r="E32" s="48"/>
    </row>
    <row r="33" ht="15.75" customHeight="1">
      <c r="B33" s="48">
        <v>7.0</v>
      </c>
      <c r="C33" s="48" t="s">
        <v>235</v>
      </c>
      <c r="D33" s="51"/>
      <c r="E33" s="48"/>
    </row>
    <row r="34" ht="15.75" customHeight="1">
      <c r="B34" s="48">
        <v>8.0</v>
      </c>
      <c r="C34" s="48" t="s">
        <v>270</v>
      </c>
      <c r="D34" s="51"/>
      <c r="E34" s="48"/>
    </row>
    <row r="35" ht="15.75" customHeight="1">
      <c r="B35" s="48">
        <v>9.0</v>
      </c>
      <c r="C35" s="52" t="s">
        <v>237</v>
      </c>
      <c r="D35" s="51"/>
      <c r="E35" s="48"/>
    </row>
    <row r="36" ht="15.75" customHeight="1">
      <c r="B36" s="48">
        <v>10.0</v>
      </c>
      <c r="C36" s="52" t="s">
        <v>327</v>
      </c>
      <c r="D36" s="51"/>
      <c r="E36" s="109"/>
    </row>
    <row r="37" ht="15.75" customHeight="1">
      <c r="B37" s="48">
        <v>11.0</v>
      </c>
      <c r="C37" s="48" t="s">
        <v>258</v>
      </c>
      <c r="D37" s="51"/>
      <c r="E37" s="48"/>
    </row>
    <row r="38" ht="15.75" customHeight="1">
      <c r="B38" s="48">
        <v>12.0</v>
      </c>
      <c r="D38" s="51"/>
      <c r="E38" s="48"/>
    </row>
    <row r="39" ht="15.75" customHeight="1">
      <c r="B39" s="48">
        <v>13.0</v>
      </c>
      <c r="D39" s="51"/>
      <c r="E39" s="48"/>
    </row>
    <row r="40" ht="15.75" customHeight="1">
      <c r="B40" s="48"/>
      <c r="C40" s="52"/>
      <c r="D40" s="51"/>
      <c r="E40" s="48"/>
    </row>
    <row r="41" ht="15.75" customHeight="1">
      <c r="B41" s="52"/>
      <c r="C41" s="52"/>
      <c r="D41" s="51"/>
      <c r="E41" s="48"/>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dataValidations>
    <dataValidation type="list" allowBlank="1" showErrorMessage="1" sqref="E5">
      <formula1>"Theo Hóa đơn,Theo Khách hàng"</formula1>
    </dataValidation>
  </dataValidations>
  <printOptions/>
  <pageMargins bottom="0.75" footer="0.0" header="0.0" left="0.7" right="0.7" top="0.75"/>
  <pageSetup orientation="landscape"/>
  <drawing r:id="rId2"/>
  <legacyDrawing r:id="rId3"/>
  <tableParts count="1">
    <tablePart r:id="rId5"/>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0"/>
    <col customWidth="1" min="2" max="2" width="14.86"/>
    <col customWidth="1" min="3" max="3" width="11.29"/>
    <col customWidth="1" min="4" max="4" width="8.43"/>
    <col customWidth="1" min="5" max="5" width="9.14"/>
    <col customWidth="1" min="6" max="6" width="7.43"/>
    <col customWidth="1" min="7" max="7" width="9.29"/>
    <col customWidth="1" min="8" max="8" width="9.0"/>
    <col customWidth="1" min="9" max="9" width="9.14"/>
    <col customWidth="1" min="10" max="10" width="7.43"/>
    <col customWidth="1" min="11" max="11" width="9.29"/>
    <col customWidth="1" min="12" max="12" width="9.71"/>
    <col customWidth="1" min="13" max="13" width="9.14"/>
    <col customWidth="1" min="14" max="14" width="7.43"/>
    <col customWidth="1" min="15" max="15" width="9.29"/>
    <col customWidth="1" min="16" max="16" width="8.86"/>
    <col customWidth="1" min="17" max="17" width="9.14"/>
    <col customWidth="1" min="18" max="18" width="12.57"/>
    <col customWidth="1" min="19" max="19" width="14.0"/>
  </cols>
  <sheetData>
    <row r="1">
      <c r="A1" s="111" t="s">
        <v>608</v>
      </c>
      <c r="B1" s="112"/>
      <c r="C1" s="112"/>
      <c r="D1" s="112"/>
      <c r="E1" s="112"/>
      <c r="F1" s="112"/>
      <c r="G1" s="112"/>
    </row>
    <row r="2">
      <c r="A2" s="11" t="s">
        <v>15</v>
      </c>
      <c r="B2" s="9"/>
      <c r="C2" s="11" t="s">
        <v>114</v>
      </c>
      <c r="E2" s="11" t="s">
        <v>115</v>
      </c>
      <c r="F2" s="9"/>
      <c r="G2" s="9"/>
    </row>
    <row r="3">
      <c r="B3" s="9"/>
      <c r="C3" s="11"/>
      <c r="F3" s="9"/>
      <c r="G3" s="9"/>
    </row>
    <row r="4">
      <c r="A4" s="230" t="s">
        <v>1</v>
      </c>
      <c r="B4" s="231" t="s">
        <v>23</v>
      </c>
      <c r="C4" s="231" t="s">
        <v>20</v>
      </c>
      <c r="D4" s="232" t="s">
        <v>609</v>
      </c>
      <c r="E4" s="188"/>
      <c r="F4" s="188"/>
      <c r="G4" s="189"/>
      <c r="H4" s="232" t="s">
        <v>610</v>
      </c>
      <c r="I4" s="188"/>
      <c r="J4" s="188"/>
      <c r="K4" s="189"/>
      <c r="L4" s="232" t="s">
        <v>611</v>
      </c>
      <c r="M4" s="188"/>
      <c r="N4" s="188"/>
      <c r="O4" s="189"/>
      <c r="P4" s="232" t="s">
        <v>429</v>
      </c>
      <c r="Q4" s="188"/>
      <c r="R4" s="188"/>
      <c r="S4" s="189"/>
    </row>
    <row r="5">
      <c r="A5" s="233"/>
      <c r="B5" s="233"/>
      <c r="C5" s="233"/>
      <c r="D5" s="117" t="s">
        <v>612</v>
      </c>
      <c r="E5" s="117" t="s">
        <v>402</v>
      </c>
      <c r="F5" s="117" t="s">
        <v>403</v>
      </c>
      <c r="G5" s="117" t="s">
        <v>404</v>
      </c>
      <c r="H5" s="117" t="s">
        <v>612</v>
      </c>
      <c r="I5" s="117" t="s">
        <v>402</v>
      </c>
      <c r="J5" s="117" t="s">
        <v>403</v>
      </c>
      <c r="K5" s="117" t="s">
        <v>404</v>
      </c>
      <c r="L5" s="117" t="s">
        <v>612</v>
      </c>
      <c r="M5" s="117" t="s">
        <v>402</v>
      </c>
      <c r="N5" s="117" t="s">
        <v>403</v>
      </c>
      <c r="O5" s="117" t="s">
        <v>404</v>
      </c>
      <c r="P5" s="117" t="s">
        <v>613</v>
      </c>
      <c r="Q5" s="117" t="s">
        <v>614</v>
      </c>
      <c r="R5" s="117" t="s">
        <v>615</v>
      </c>
      <c r="S5" s="117" t="s">
        <v>616</v>
      </c>
      <c r="T5" s="118"/>
      <c r="U5" s="118"/>
      <c r="V5" s="118"/>
      <c r="W5" s="118"/>
      <c r="X5" s="118"/>
      <c r="Y5" s="118"/>
    </row>
    <row r="6">
      <c r="A6" s="123">
        <v>1.0</v>
      </c>
      <c r="B6" s="234" t="s">
        <v>617</v>
      </c>
      <c r="C6" s="125" t="s">
        <v>422</v>
      </c>
      <c r="D6" s="129"/>
      <c r="E6" s="128"/>
      <c r="F6" s="128"/>
      <c r="G6" s="128"/>
      <c r="H6" s="128"/>
      <c r="I6" s="128"/>
      <c r="J6" s="128"/>
      <c r="K6" s="128"/>
      <c r="L6" s="128"/>
      <c r="M6" s="128"/>
      <c r="N6" s="128"/>
      <c r="O6" s="128"/>
    </row>
    <row r="7">
      <c r="B7" s="124"/>
      <c r="D7" s="129">
        <v>4.0</v>
      </c>
      <c r="E7" s="128">
        <v>6.130000000000001</v>
      </c>
      <c r="F7" s="128">
        <v>0.32</v>
      </c>
      <c r="G7" s="128">
        <f>E7-F7</f>
        <v>5.81</v>
      </c>
      <c r="H7" s="128"/>
      <c r="I7" s="128">
        <v>6.130000000000001</v>
      </c>
      <c r="J7" s="128">
        <v>0.32</v>
      </c>
      <c r="K7" s="128">
        <f>I7-J7</f>
        <v>5.81</v>
      </c>
      <c r="L7" s="128"/>
      <c r="M7" s="128">
        <v>6.130000000000001</v>
      </c>
      <c r="N7" s="128">
        <v>0.32</v>
      </c>
      <c r="O7" s="128">
        <f>M7-N7</f>
        <v>5.81</v>
      </c>
      <c r="P7" s="128">
        <f t="shared" ref="P7:Q7" si="1">E7+I7+M7</f>
        <v>18.39</v>
      </c>
      <c r="Q7" s="128">
        <f t="shared" si="1"/>
        <v>0.96</v>
      </c>
      <c r="R7" s="128">
        <f t="shared" ref="R7:S7" si="2">P7-Q7</f>
        <v>17.43</v>
      </c>
      <c r="S7" s="128">
        <f t="shared" si="2"/>
        <v>-16.47</v>
      </c>
    </row>
    <row r="8">
      <c r="A8" s="127">
        <v>2.0</v>
      </c>
      <c r="B8" s="234" t="s">
        <v>618</v>
      </c>
      <c r="C8" s="125" t="s">
        <v>428</v>
      </c>
      <c r="D8" s="129"/>
      <c r="E8" s="125"/>
      <c r="F8" s="125"/>
      <c r="G8" s="128"/>
      <c r="H8" s="125"/>
      <c r="I8" s="125"/>
      <c r="J8" s="125"/>
      <c r="K8" s="128"/>
      <c r="L8" s="125"/>
      <c r="M8" s="125"/>
      <c r="N8" s="125"/>
      <c r="O8" s="128"/>
      <c r="P8" s="128"/>
      <c r="Q8" s="128"/>
      <c r="R8" s="128"/>
      <c r="S8" s="128"/>
    </row>
    <row r="9">
      <c r="B9" s="124"/>
      <c r="D9" s="129">
        <v>2.0</v>
      </c>
      <c r="E9" s="125">
        <v>12.43</v>
      </c>
      <c r="F9" s="125">
        <v>0.872</v>
      </c>
      <c r="G9" s="128">
        <f>E9-F9</f>
        <v>11.558</v>
      </c>
      <c r="H9" s="125"/>
      <c r="I9" s="125">
        <v>12.43</v>
      </c>
      <c r="J9" s="125">
        <v>0.872</v>
      </c>
      <c r="K9" s="128">
        <f>I9-J9</f>
        <v>11.558</v>
      </c>
      <c r="L9" s="125"/>
      <c r="M9" s="125">
        <v>12.43</v>
      </c>
      <c r="N9" s="125">
        <v>0.872</v>
      </c>
      <c r="O9" s="128">
        <f t="shared" ref="O9:S9" si="3">M9-N9</f>
        <v>11.558</v>
      </c>
      <c r="P9" s="128">
        <f t="shared" si="3"/>
        <v>-10.686</v>
      </c>
      <c r="Q9" s="128">
        <f t="shared" si="3"/>
        <v>22.244</v>
      </c>
      <c r="R9" s="128">
        <f t="shared" si="3"/>
        <v>-32.93</v>
      </c>
      <c r="S9" s="128">
        <f t="shared" si="3"/>
        <v>55.174</v>
      </c>
    </row>
    <row r="10">
      <c r="A10" s="123"/>
      <c r="B10" s="124"/>
      <c r="C10" s="130"/>
      <c r="D10" s="125"/>
      <c r="E10" s="125"/>
      <c r="F10" s="131"/>
      <c r="G10" s="132"/>
      <c r="H10" s="132"/>
      <c r="I10" s="132"/>
      <c r="J10" s="132"/>
      <c r="K10" s="132"/>
      <c r="L10" s="132"/>
      <c r="M10" s="132"/>
      <c r="N10" s="132"/>
      <c r="O10" s="132"/>
      <c r="P10" s="132"/>
      <c r="Q10" s="132"/>
      <c r="R10" s="132"/>
      <c r="S10" s="132"/>
    </row>
    <row r="11">
      <c r="A11" s="123"/>
      <c r="B11" s="124"/>
      <c r="C11" s="130" t="s">
        <v>429</v>
      </c>
      <c r="D11" s="125"/>
      <c r="E11" s="125"/>
      <c r="F11" s="131"/>
      <c r="G11" s="132"/>
      <c r="H11" s="132"/>
      <c r="I11" s="132"/>
      <c r="J11" s="132"/>
      <c r="K11" s="132"/>
      <c r="L11" s="132"/>
      <c r="M11" s="132"/>
      <c r="N11" s="132"/>
      <c r="O11" s="132"/>
      <c r="P11" s="132"/>
      <c r="Q11" s="132"/>
      <c r="R11" s="132"/>
      <c r="S11" s="132"/>
    </row>
    <row r="13">
      <c r="B13" s="19" t="s">
        <v>210</v>
      </c>
      <c r="L13" s="19" t="s">
        <v>214</v>
      </c>
    </row>
    <row r="17">
      <c r="A17" s="41" t="s">
        <v>619</v>
      </c>
      <c r="B17" s="41" t="s">
        <v>293</v>
      </c>
    </row>
    <row r="18">
      <c r="B18" s="19" t="s">
        <v>620</v>
      </c>
    </row>
    <row r="19">
      <c r="B19" s="19" t="s">
        <v>432</v>
      </c>
    </row>
    <row r="20">
      <c r="B20" s="19" t="s">
        <v>621</v>
      </c>
    </row>
  </sheetData>
  <mergeCells count="7">
    <mergeCell ref="A4:A5"/>
    <mergeCell ref="B4:B5"/>
    <mergeCell ref="C4:C5"/>
    <mergeCell ref="D4:G4"/>
    <mergeCell ref="H4:K4"/>
    <mergeCell ref="L4:O4"/>
    <mergeCell ref="P4:S4"/>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57"/>
    <col customWidth="1" min="3" max="3" width="20.71"/>
    <col customWidth="1" min="4" max="4" width="16.14"/>
    <col customWidth="1" min="5" max="5" width="15.0"/>
    <col customWidth="1" min="6" max="6" width="19.57"/>
    <col customWidth="1" min="7" max="7" width="18.86"/>
    <col customWidth="1" min="8" max="9" width="17.57"/>
    <col customWidth="1" min="10" max="10" width="20.43"/>
    <col customWidth="1" min="11" max="11" width="20.14"/>
    <col customWidth="1" min="12" max="12" width="21.71"/>
    <col customWidth="1" min="13" max="13" width="15.29"/>
  </cols>
  <sheetData>
    <row r="1">
      <c r="A1" s="112" t="s">
        <v>622</v>
      </c>
    </row>
    <row r="2">
      <c r="A2" s="11" t="s">
        <v>15</v>
      </c>
      <c r="B2" s="9"/>
      <c r="C2" s="11" t="s">
        <v>114</v>
      </c>
      <c r="D2" s="9"/>
      <c r="E2" s="11" t="s">
        <v>115</v>
      </c>
      <c r="H2" s="11"/>
      <c r="I2" s="11"/>
      <c r="J2" s="11"/>
      <c r="K2" s="11"/>
    </row>
    <row r="3">
      <c r="D3" s="11"/>
      <c r="E3" s="11"/>
      <c r="F3" s="11"/>
      <c r="G3" s="11"/>
      <c r="H3" s="11"/>
      <c r="I3" s="11"/>
      <c r="J3" s="11"/>
      <c r="K3" s="11"/>
    </row>
    <row r="4">
      <c r="A4" s="113"/>
      <c r="B4" s="235" t="s">
        <v>623</v>
      </c>
      <c r="C4" s="188"/>
      <c r="D4" s="188"/>
      <c r="E4" s="188"/>
      <c r="F4" s="188"/>
      <c r="G4" s="189"/>
      <c r="H4" s="236"/>
      <c r="I4" s="235" t="s">
        <v>624</v>
      </c>
      <c r="J4" s="189"/>
      <c r="K4" s="235" t="s">
        <v>625</v>
      </c>
      <c r="L4" s="189"/>
    </row>
    <row r="5">
      <c r="A5" s="237" t="s">
        <v>1</v>
      </c>
      <c r="B5" s="238" t="s">
        <v>22</v>
      </c>
      <c r="C5" s="238" t="s">
        <v>400</v>
      </c>
      <c r="D5" s="238" t="s">
        <v>401</v>
      </c>
      <c r="E5" s="238" t="s">
        <v>626</v>
      </c>
      <c r="F5" s="238" t="s">
        <v>627</v>
      </c>
      <c r="G5" s="238" t="s">
        <v>628</v>
      </c>
      <c r="H5" s="238" t="s">
        <v>629</v>
      </c>
      <c r="I5" s="238" t="s">
        <v>23</v>
      </c>
      <c r="J5" s="238" t="s">
        <v>20</v>
      </c>
      <c r="K5" s="238" t="s">
        <v>630</v>
      </c>
      <c r="L5" s="238" t="s">
        <v>20</v>
      </c>
    </row>
    <row r="6">
      <c r="A6" s="127"/>
      <c r="B6" s="125" t="s">
        <v>631</v>
      </c>
      <c r="C6" s="125" t="s">
        <v>632</v>
      </c>
      <c r="D6" s="125" t="s">
        <v>633</v>
      </c>
      <c r="E6" s="125" t="s">
        <v>634</v>
      </c>
      <c r="F6" s="125" t="s">
        <v>635</v>
      </c>
      <c r="G6" s="125" t="s">
        <v>636</v>
      </c>
      <c r="H6" s="125" t="s">
        <v>637</v>
      </c>
      <c r="I6" s="125" t="s">
        <v>638</v>
      </c>
      <c r="J6" s="125" t="s">
        <v>639</v>
      </c>
      <c r="K6" s="125" t="s">
        <v>638</v>
      </c>
      <c r="L6" s="125" t="s">
        <v>639</v>
      </c>
    </row>
    <row r="7">
      <c r="A7" s="123">
        <v>1.0</v>
      </c>
      <c r="B7" s="124" t="s">
        <v>420</v>
      </c>
      <c r="C7" s="125" t="s">
        <v>421</v>
      </c>
      <c r="D7" s="125"/>
      <c r="E7" s="125"/>
      <c r="F7" s="125"/>
      <c r="G7" s="127"/>
      <c r="H7" s="127"/>
      <c r="I7" s="127"/>
      <c r="J7" s="125"/>
      <c r="K7" s="125"/>
      <c r="L7" s="127"/>
    </row>
    <row r="8">
      <c r="A8" s="123"/>
      <c r="B8" s="124"/>
      <c r="C8" s="125"/>
      <c r="D8" s="125"/>
      <c r="E8" s="125"/>
      <c r="F8" s="125"/>
      <c r="G8" s="127"/>
      <c r="H8" s="125"/>
      <c r="I8" s="125"/>
      <c r="J8" s="125"/>
      <c r="K8" s="125"/>
      <c r="L8" s="125"/>
    </row>
    <row r="9">
      <c r="A9" s="123"/>
      <c r="B9" s="124"/>
      <c r="C9" s="125"/>
      <c r="D9" s="125"/>
      <c r="E9" s="125"/>
      <c r="F9" s="125"/>
      <c r="G9" s="127"/>
      <c r="H9" s="125"/>
      <c r="I9" s="125"/>
      <c r="J9" s="125"/>
      <c r="K9" s="125"/>
      <c r="L9" s="125"/>
    </row>
    <row r="10">
      <c r="A10" s="123"/>
      <c r="B10" s="124"/>
      <c r="C10" s="125"/>
      <c r="D10" s="125"/>
      <c r="E10" s="125"/>
      <c r="F10" s="125"/>
      <c r="G10" s="127"/>
      <c r="H10" s="125"/>
      <c r="I10" s="125"/>
      <c r="J10" s="125"/>
      <c r="K10" s="239"/>
      <c r="L10" s="125"/>
    </row>
    <row r="11">
      <c r="A11" s="123"/>
      <c r="B11" s="124"/>
      <c r="C11" s="125"/>
      <c r="D11" s="125"/>
      <c r="E11" s="125"/>
      <c r="F11" s="125"/>
      <c r="G11" s="127"/>
      <c r="H11" s="125"/>
      <c r="I11" s="125"/>
      <c r="J11" s="125"/>
      <c r="K11" s="125"/>
      <c r="L11" s="125"/>
    </row>
    <row r="12">
      <c r="A12" s="123"/>
      <c r="B12" s="124"/>
      <c r="C12" s="125"/>
      <c r="D12" s="125"/>
      <c r="E12" s="125"/>
      <c r="F12" s="125"/>
      <c r="G12" s="127"/>
      <c r="H12" s="125"/>
      <c r="I12" s="125"/>
      <c r="J12" s="125"/>
      <c r="K12" s="125"/>
      <c r="L12" s="125"/>
    </row>
    <row r="13">
      <c r="A13" s="123"/>
      <c r="B13" s="130" t="s">
        <v>429</v>
      </c>
      <c r="C13" s="125"/>
      <c r="D13" s="129"/>
      <c r="E13" s="129"/>
      <c r="F13" s="129"/>
      <c r="G13" s="125"/>
      <c r="H13" s="129"/>
      <c r="I13" s="129"/>
      <c r="J13" s="125"/>
      <c r="K13" s="125"/>
      <c r="L13" s="125"/>
    </row>
    <row r="16">
      <c r="A16" s="41" t="s">
        <v>640</v>
      </c>
    </row>
    <row r="17">
      <c r="A17" s="41" t="s">
        <v>641</v>
      </c>
      <c r="B17" s="19" t="s">
        <v>642</v>
      </c>
    </row>
    <row r="18">
      <c r="B18" s="19" t="s">
        <v>643</v>
      </c>
    </row>
    <row r="19">
      <c r="B19" s="41" t="s">
        <v>644</v>
      </c>
    </row>
    <row r="20">
      <c r="B20" s="41" t="s">
        <v>645</v>
      </c>
    </row>
    <row r="21">
      <c r="B21" s="19" t="s">
        <v>646</v>
      </c>
      <c r="C21" s="19"/>
    </row>
    <row r="22">
      <c r="B22" s="19" t="s">
        <v>647</v>
      </c>
    </row>
    <row r="23">
      <c r="B23" s="41" t="s">
        <v>648</v>
      </c>
    </row>
  </sheetData>
  <mergeCells count="4">
    <mergeCell ref="A1:K1"/>
    <mergeCell ref="B4:G4"/>
    <mergeCell ref="I4:J4"/>
    <mergeCell ref="K4:L4"/>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29"/>
    <col customWidth="1" min="2" max="2" width="21.86"/>
    <col customWidth="1" min="3" max="3" width="24.71"/>
    <col customWidth="1" min="4" max="4" width="20.57"/>
    <col customWidth="1" min="5" max="5" width="16.0"/>
    <col customWidth="1" min="6" max="6" width="19.0"/>
    <col customWidth="1" min="7" max="7" width="21.0"/>
    <col customWidth="1" min="8" max="8" width="17.29"/>
    <col customWidth="1" min="9" max="9" width="21.14"/>
  </cols>
  <sheetData>
    <row r="1">
      <c r="A1" s="112" t="s">
        <v>649</v>
      </c>
    </row>
    <row r="2">
      <c r="A2" s="11" t="s">
        <v>15</v>
      </c>
      <c r="B2" s="9"/>
      <c r="C2" s="11" t="s">
        <v>114</v>
      </c>
      <c r="D2" s="9"/>
      <c r="E2" s="19" t="s">
        <v>115</v>
      </c>
    </row>
    <row r="3">
      <c r="A3" s="11"/>
      <c r="B3" s="235" t="s">
        <v>398</v>
      </c>
      <c r="C3" s="188"/>
      <c r="D3" s="188"/>
      <c r="E3" s="188"/>
      <c r="F3" s="189"/>
      <c r="G3" s="9"/>
    </row>
    <row r="4">
      <c r="A4" s="237" t="s">
        <v>1</v>
      </c>
      <c r="B4" s="238" t="s">
        <v>23</v>
      </c>
      <c r="C4" s="238" t="s">
        <v>20</v>
      </c>
      <c r="D4" s="238" t="s">
        <v>650</v>
      </c>
      <c r="E4" s="238" t="s">
        <v>403</v>
      </c>
      <c r="F4" s="238" t="s">
        <v>651</v>
      </c>
      <c r="G4" s="238" t="s">
        <v>652</v>
      </c>
      <c r="H4" s="238" t="s">
        <v>653</v>
      </c>
      <c r="I4" s="238" t="s">
        <v>654</v>
      </c>
    </row>
    <row r="5">
      <c r="A5" s="123"/>
      <c r="B5" s="124" t="s">
        <v>638</v>
      </c>
      <c r="C5" s="125" t="s">
        <v>639</v>
      </c>
      <c r="D5" s="125" t="s">
        <v>655</v>
      </c>
      <c r="E5" s="125" t="s">
        <v>656</v>
      </c>
      <c r="F5" s="125" t="s">
        <v>657</v>
      </c>
      <c r="G5" s="125" t="s">
        <v>658</v>
      </c>
      <c r="H5" s="125" t="s">
        <v>659</v>
      </c>
      <c r="I5" s="125" t="s">
        <v>660</v>
      </c>
    </row>
    <row r="6">
      <c r="A6" s="123">
        <v>1.0</v>
      </c>
      <c r="B6" s="240" t="s">
        <v>169</v>
      </c>
      <c r="C6" s="125" t="s">
        <v>422</v>
      </c>
      <c r="D6" s="125">
        <v>62.13</v>
      </c>
      <c r="E6" s="125">
        <v>8.21</v>
      </c>
      <c r="F6" s="128">
        <f t="shared" ref="F6:F8" si="1">D6-E6</f>
        <v>53.92</v>
      </c>
      <c r="G6" s="125">
        <v>62.13</v>
      </c>
      <c r="H6" s="125">
        <v>8.21</v>
      </c>
      <c r="I6" s="128">
        <f t="shared" ref="I6:I8" si="2">G6-H6</f>
        <v>53.92</v>
      </c>
    </row>
    <row r="7">
      <c r="A7" s="123">
        <v>2.0</v>
      </c>
      <c r="B7" s="240" t="s">
        <v>179</v>
      </c>
      <c r="C7" s="125" t="s">
        <v>422</v>
      </c>
      <c r="D7" s="125">
        <v>58.533</v>
      </c>
      <c r="E7" s="128">
        <v>6.33</v>
      </c>
      <c r="F7" s="128">
        <f t="shared" si="1"/>
        <v>52.203</v>
      </c>
      <c r="G7" s="125">
        <v>58.533</v>
      </c>
      <c r="H7" s="128">
        <v>6.33</v>
      </c>
      <c r="I7" s="128">
        <f t="shared" si="2"/>
        <v>52.203</v>
      </c>
    </row>
    <row r="8">
      <c r="A8" s="124">
        <v>3.0</v>
      </c>
      <c r="B8" s="124" t="s">
        <v>618</v>
      </c>
      <c r="C8" s="241" t="s">
        <v>428</v>
      </c>
      <c r="D8" s="125">
        <v>31.23</v>
      </c>
      <c r="E8" s="125">
        <v>3.1</v>
      </c>
      <c r="F8" s="128">
        <f t="shared" si="1"/>
        <v>28.13</v>
      </c>
      <c r="G8" s="125">
        <v>31.23</v>
      </c>
      <c r="H8" s="125">
        <v>3.1</v>
      </c>
      <c r="I8" s="128">
        <f t="shared" si="2"/>
        <v>28.13</v>
      </c>
    </row>
    <row r="9">
      <c r="A9" s="240"/>
      <c r="B9" s="242" t="s">
        <v>429</v>
      </c>
      <c r="C9" s="243"/>
      <c r="D9" s="243">
        <f t="shared" ref="D9:I9" si="3">SUM(D6:D7)</f>
        <v>120.663</v>
      </c>
      <c r="E9" s="243">
        <f t="shared" si="3"/>
        <v>14.54</v>
      </c>
      <c r="F9" s="243">
        <f t="shared" si="3"/>
        <v>106.123</v>
      </c>
      <c r="G9" s="243">
        <f t="shared" si="3"/>
        <v>120.663</v>
      </c>
      <c r="H9" s="243">
        <f t="shared" si="3"/>
        <v>14.54</v>
      </c>
      <c r="I9" s="243">
        <f t="shared" si="3"/>
        <v>106.123</v>
      </c>
    </row>
    <row r="12">
      <c r="A12" s="41" t="s">
        <v>661</v>
      </c>
    </row>
    <row r="13">
      <c r="A13" s="41" t="s">
        <v>641</v>
      </c>
    </row>
    <row r="14">
      <c r="B14" s="19" t="s">
        <v>662</v>
      </c>
    </row>
    <row r="15">
      <c r="B15" s="41" t="s">
        <v>663</v>
      </c>
    </row>
    <row r="16">
      <c r="B16" s="41" t="s">
        <v>664</v>
      </c>
    </row>
    <row r="17">
      <c r="B17" s="41" t="s">
        <v>665</v>
      </c>
    </row>
    <row r="18">
      <c r="B18" s="41"/>
    </row>
    <row r="19">
      <c r="B19" s="41" t="s">
        <v>666</v>
      </c>
    </row>
    <row r="22">
      <c r="B22" s="41"/>
    </row>
  </sheetData>
  <mergeCells count="2">
    <mergeCell ref="A1:G1"/>
    <mergeCell ref="B3:F3"/>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29"/>
    <col customWidth="1" min="2" max="2" width="21.86"/>
    <col customWidth="1" min="3" max="3" width="29.0"/>
    <col customWidth="1" min="4" max="5" width="25.71"/>
    <col customWidth="1" min="6" max="6" width="17.86"/>
  </cols>
  <sheetData>
    <row r="1">
      <c r="A1" s="112" t="s">
        <v>667</v>
      </c>
    </row>
    <row r="2">
      <c r="A2" s="11" t="s">
        <v>15</v>
      </c>
      <c r="B2" s="9"/>
      <c r="C2" s="11" t="s">
        <v>114</v>
      </c>
      <c r="D2" s="9"/>
      <c r="E2" s="19" t="s">
        <v>115</v>
      </c>
    </row>
    <row r="3">
      <c r="A3" s="11"/>
      <c r="B3" s="244" t="s">
        <v>293</v>
      </c>
    </row>
    <row r="4">
      <c r="A4" s="237" t="s">
        <v>1</v>
      </c>
      <c r="B4" s="238" t="s">
        <v>23</v>
      </c>
      <c r="C4" s="238" t="s">
        <v>20</v>
      </c>
      <c r="D4" s="238" t="s">
        <v>650</v>
      </c>
      <c r="E4" s="238" t="s">
        <v>403</v>
      </c>
      <c r="F4" s="238" t="s">
        <v>456</v>
      </c>
      <c r="G4" s="9"/>
    </row>
    <row r="5">
      <c r="A5" s="123"/>
      <c r="B5" s="124" t="s">
        <v>638</v>
      </c>
      <c r="C5" s="125" t="s">
        <v>639</v>
      </c>
      <c r="D5" s="125" t="s">
        <v>655</v>
      </c>
      <c r="E5" s="125" t="s">
        <v>656</v>
      </c>
      <c r="F5" s="125" t="s">
        <v>657</v>
      </c>
      <c r="G5" s="9"/>
    </row>
    <row r="6">
      <c r="A6" s="123">
        <v>1.0</v>
      </c>
      <c r="B6" s="240" t="s">
        <v>169</v>
      </c>
      <c r="C6" s="125" t="s">
        <v>422</v>
      </c>
      <c r="D6" s="125">
        <v>62.13</v>
      </c>
      <c r="E6" s="125">
        <v>8.21</v>
      </c>
      <c r="F6" s="128">
        <f t="shared" ref="F6:F8" si="1">D6-E6</f>
        <v>53.92</v>
      </c>
      <c r="G6" s="9"/>
    </row>
    <row r="7">
      <c r="A7" s="123">
        <v>2.0</v>
      </c>
      <c r="B7" s="240" t="s">
        <v>179</v>
      </c>
      <c r="C7" s="125" t="s">
        <v>422</v>
      </c>
      <c r="D7" s="125">
        <v>58.533</v>
      </c>
      <c r="E7" s="128">
        <v>6.33</v>
      </c>
      <c r="F7" s="128">
        <f t="shared" si="1"/>
        <v>52.203</v>
      </c>
      <c r="G7" s="9"/>
    </row>
    <row r="8">
      <c r="A8" s="124">
        <v>3.0</v>
      </c>
      <c r="B8" s="124" t="s">
        <v>618</v>
      </c>
      <c r="C8" s="241" t="s">
        <v>428</v>
      </c>
      <c r="D8" s="125">
        <v>31.23</v>
      </c>
      <c r="E8" s="125">
        <v>3.1</v>
      </c>
      <c r="F8" s="128">
        <f t="shared" si="1"/>
        <v>28.13</v>
      </c>
    </row>
    <row r="9">
      <c r="A9" s="240"/>
      <c r="B9" s="242" t="s">
        <v>429</v>
      </c>
      <c r="C9" s="243"/>
      <c r="D9" s="243">
        <f t="shared" ref="D9:F9" si="2">SUM(D6:D7)</f>
        <v>120.663</v>
      </c>
      <c r="E9" s="243">
        <f t="shared" si="2"/>
        <v>14.54</v>
      </c>
      <c r="F9" s="243">
        <f t="shared" si="2"/>
        <v>106.123</v>
      </c>
    </row>
    <row r="10">
      <c r="A10" s="41" t="s">
        <v>640</v>
      </c>
    </row>
    <row r="11">
      <c r="A11" s="245" t="s">
        <v>641</v>
      </c>
      <c r="B11" s="19" t="s">
        <v>668</v>
      </c>
    </row>
    <row r="12">
      <c r="B12" s="41" t="s">
        <v>669</v>
      </c>
    </row>
    <row r="13">
      <c r="B13" s="41"/>
    </row>
    <row r="14">
      <c r="B14" s="41"/>
    </row>
    <row r="17">
      <c r="B17" s="41"/>
    </row>
  </sheetData>
  <mergeCells count="2">
    <mergeCell ref="A1:F1"/>
    <mergeCell ref="B3:F3"/>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57"/>
    <col customWidth="1" min="2" max="2" width="22.0"/>
    <col customWidth="1" min="3" max="3" width="17.29"/>
    <col customWidth="1" min="4" max="4" width="17.86"/>
    <col customWidth="1" min="5" max="5" width="21.43"/>
    <col customWidth="1" min="6" max="6" width="27.57"/>
    <col customWidth="1" min="7" max="13" width="20.14"/>
  </cols>
  <sheetData>
    <row r="1">
      <c r="A1" s="111" t="s">
        <v>670</v>
      </c>
      <c r="B1" s="112"/>
      <c r="C1" s="112"/>
      <c r="D1" s="112"/>
      <c r="E1" s="112"/>
      <c r="F1" s="112"/>
      <c r="G1" s="112"/>
      <c r="H1" s="112"/>
      <c r="I1" s="112"/>
    </row>
    <row r="2">
      <c r="A2" s="11" t="s">
        <v>15</v>
      </c>
      <c r="B2" s="9"/>
      <c r="C2" s="11" t="s">
        <v>114</v>
      </c>
      <c r="D2" s="11"/>
      <c r="E2" s="11" t="s">
        <v>115</v>
      </c>
      <c r="F2" s="11"/>
      <c r="H2" s="9"/>
      <c r="I2" s="9"/>
    </row>
    <row r="3">
      <c r="B3" s="9"/>
      <c r="D3" s="11"/>
      <c r="E3" s="11"/>
      <c r="F3" s="11"/>
      <c r="H3" s="9"/>
      <c r="I3" s="9"/>
    </row>
    <row r="4">
      <c r="A4" s="116" t="s">
        <v>1</v>
      </c>
      <c r="B4" s="117" t="s">
        <v>22</v>
      </c>
      <c r="C4" s="117" t="s">
        <v>400</v>
      </c>
      <c r="D4" s="117" t="s">
        <v>401</v>
      </c>
      <c r="E4" s="117" t="s">
        <v>626</v>
      </c>
      <c r="F4" s="117" t="s">
        <v>168</v>
      </c>
      <c r="G4" s="117" t="s">
        <v>671</v>
      </c>
      <c r="H4" s="117" t="s">
        <v>672</v>
      </c>
      <c r="I4" s="117" t="s">
        <v>673</v>
      </c>
      <c r="J4" s="117" t="s">
        <v>210</v>
      </c>
      <c r="K4" s="117" t="s">
        <v>148</v>
      </c>
      <c r="L4" s="117" t="s">
        <v>628</v>
      </c>
      <c r="M4" s="117" t="s">
        <v>629</v>
      </c>
      <c r="N4" s="118"/>
      <c r="O4" s="118"/>
      <c r="P4" s="118"/>
      <c r="Q4" s="118"/>
      <c r="R4" s="118"/>
      <c r="S4" s="118"/>
      <c r="T4" s="118"/>
      <c r="U4" s="118"/>
      <c r="V4" s="118"/>
      <c r="W4" s="118"/>
      <c r="X4" s="118"/>
      <c r="Y4" s="118"/>
      <c r="Z4" s="118"/>
      <c r="AA4" s="118"/>
      <c r="AB4" s="118"/>
    </row>
    <row r="5">
      <c r="A5" s="119" t="s">
        <v>407</v>
      </c>
      <c r="B5" s="120" t="s">
        <v>674</v>
      </c>
      <c r="C5" s="121" t="s">
        <v>632</v>
      </c>
      <c r="D5" s="119" t="s">
        <v>633</v>
      </c>
      <c r="E5" s="119" t="s">
        <v>634</v>
      </c>
      <c r="F5" s="121" t="s">
        <v>675</v>
      </c>
      <c r="G5" s="121" t="s">
        <v>676</v>
      </c>
      <c r="H5" s="121" t="s">
        <v>677</v>
      </c>
      <c r="I5" s="121" t="s">
        <v>678</v>
      </c>
      <c r="J5" s="121" t="s">
        <v>635</v>
      </c>
      <c r="K5" s="121" t="s">
        <v>679</v>
      </c>
      <c r="L5" s="121" t="s">
        <v>636</v>
      </c>
      <c r="M5" s="121" t="s">
        <v>637</v>
      </c>
      <c r="N5" s="122"/>
      <c r="O5" s="122"/>
      <c r="P5" s="122"/>
      <c r="Q5" s="122"/>
      <c r="R5" s="122"/>
      <c r="S5" s="122"/>
      <c r="T5" s="122"/>
      <c r="U5" s="122"/>
      <c r="V5" s="122"/>
      <c r="W5" s="122"/>
      <c r="X5" s="122"/>
      <c r="Y5" s="122"/>
      <c r="Z5" s="122"/>
      <c r="AA5" s="122"/>
      <c r="AB5" s="122"/>
    </row>
    <row r="6">
      <c r="A6" s="123">
        <v>1.0</v>
      </c>
      <c r="B6" s="124" t="s">
        <v>420</v>
      </c>
      <c r="C6" s="125" t="s">
        <v>421</v>
      </c>
      <c r="D6" s="126">
        <v>45575.0</v>
      </c>
      <c r="E6" s="246">
        <v>0.43819444444444444</v>
      </c>
      <c r="F6" s="129">
        <v>19123.0</v>
      </c>
      <c r="G6" s="128">
        <v>6.130000000000001</v>
      </c>
      <c r="H6" s="128">
        <v>0.32</v>
      </c>
      <c r="I6" s="128">
        <f t="shared" ref="I6:I8" si="1">G6-H6</f>
        <v>5.81</v>
      </c>
      <c r="J6" s="127" t="s">
        <v>680</v>
      </c>
      <c r="K6" s="127" t="s">
        <v>681</v>
      </c>
      <c r="L6" s="127" t="s">
        <v>682</v>
      </c>
      <c r="M6" s="126">
        <v>45575.0</v>
      </c>
    </row>
    <row r="7">
      <c r="A7" s="123">
        <v>2.0</v>
      </c>
      <c r="B7" s="124" t="s">
        <v>423</v>
      </c>
      <c r="C7" s="125" t="s">
        <v>424</v>
      </c>
      <c r="D7" s="126">
        <v>45575.0</v>
      </c>
      <c r="E7" s="246">
        <v>0.4798611111111111</v>
      </c>
      <c r="F7" s="129">
        <v>19123.0</v>
      </c>
      <c r="G7" s="125">
        <v>8.329</v>
      </c>
      <c r="H7" s="125">
        <v>1.2</v>
      </c>
      <c r="I7" s="128">
        <f t="shared" si="1"/>
        <v>7.129</v>
      </c>
      <c r="J7" s="127" t="s">
        <v>680</v>
      </c>
      <c r="K7" s="125" t="s">
        <v>683</v>
      </c>
      <c r="L7" s="127" t="s">
        <v>682</v>
      </c>
      <c r="M7" s="126">
        <v>45575.0</v>
      </c>
    </row>
    <row r="8">
      <c r="A8" s="123">
        <v>3.0</v>
      </c>
      <c r="B8" s="124" t="s">
        <v>425</v>
      </c>
      <c r="C8" s="125" t="s">
        <v>426</v>
      </c>
      <c r="D8" s="126">
        <v>45575.0</v>
      </c>
      <c r="E8" s="246">
        <v>0.5215277777777778</v>
      </c>
      <c r="F8" s="129">
        <v>19123.0</v>
      </c>
      <c r="G8" s="125">
        <v>12.43</v>
      </c>
      <c r="H8" s="125">
        <v>0.872</v>
      </c>
      <c r="I8" s="128">
        <f t="shared" si="1"/>
        <v>11.558</v>
      </c>
      <c r="J8" s="127" t="s">
        <v>680</v>
      </c>
      <c r="K8" s="125" t="s">
        <v>684</v>
      </c>
      <c r="L8" s="127" t="s">
        <v>682</v>
      </c>
      <c r="M8" s="126">
        <v>45575.0</v>
      </c>
    </row>
    <row r="9">
      <c r="A9" s="123"/>
      <c r="B9" s="130" t="s">
        <v>429</v>
      </c>
      <c r="C9" s="247">
        <v>3.0</v>
      </c>
      <c r="D9" s="129"/>
      <c r="E9" s="125"/>
      <c r="F9" s="125"/>
      <c r="G9" s="125"/>
      <c r="H9" s="131"/>
      <c r="I9" s="132"/>
      <c r="J9" s="125"/>
      <c r="K9" s="125"/>
      <c r="L9" s="125"/>
      <c r="M9" s="125"/>
    </row>
    <row r="14">
      <c r="B14" s="41" t="s">
        <v>623</v>
      </c>
    </row>
    <row r="15">
      <c r="B15" s="19" t="s">
        <v>685</v>
      </c>
    </row>
    <row r="16">
      <c r="B16" s="19" t="s">
        <v>686</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29"/>
    <col customWidth="1" min="2" max="2" width="21.43"/>
    <col customWidth="1" min="3" max="3" width="24.14"/>
    <col customWidth="1" min="4" max="4" width="14.43"/>
    <col customWidth="1" min="5" max="5" width="13.14"/>
    <col customWidth="1" min="6" max="6" width="16.57"/>
    <col customWidth="1" min="7" max="7" width="17.71"/>
    <col customWidth="1" min="8" max="8" width="12.29"/>
    <col customWidth="1" min="9" max="9" width="13.57"/>
    <col customWidth="1" min="10" max="10" width="12.86"/>
    <col customWidth="1" min="11" max="11" width="17.0"/>
  </cols>
  <sheetData>
    <row r="1">
      <c r="A1" s="111" t="s">
        <v>687</v>
      </c>
      <c r="B1" s="112"/>
      <c r="C1" s="112"/>
      <c r="D1" s="112"/>
      <c r="E1" s="112"/>
      <c r="F1" s="112"/>
      <c r="G1" s="112"/>
      <c r="H1" s="112"/>
      <c r="I1" s="112"/>
    </row>
    <row r="2">
      <c r="A2" s="11" t="s">
        <v>15</v>
      </c>
      <c r="B2" s="9"/>
      <c r="C2" s="11" t="s">
        <v>114</v>
      </c>
      <c r="D2" s="9"/>
      <c r="E2" s="11" t="s">
        <v>115</v>
      </c>
      <c r="F2" s="11"/>
    </row>
    <row r="3">
      <c r="B3" s="9"/>
      <c r="D3" s="9"/>
      <c r="E3" s="9"/>
      <c r="F3" s="9"/>
      <c r="G3" s="9"/>
      <c r="H3" s="9"/>
      <c r="I3" s="9"/>
    </row>
    <row r="5">
      <c r="A5" s="237" t="s">
        <v>1</v>
      </c>
      <c r="B5" s="238" t="s">
        <v>22</v>
      </c>
      <c r="C5" s="238" t="s">
        <v>400</v>
      </c>
      <c r="D5" s="238" t="s">
        <v>401</v>
      </c>
      <c r="E5" s="238" t="s">
        <v>626</v>
      </c>
      <c r="F5" s="238" t="s">
        <v>565</v>
      </c>
      <c r="G5" s="238" t="s">
        <v>566</v>
      </c>
      <c r="H5" s="238" t="s">
        <v>688</v>
      </c>
      <c r="I5" s="238" t="s">
        <v>689</v>
      </c>
      <c r="J5" s="238" t="s">
        <v>524</v>
      </c>
      <c r="K5" s="238" t="s">
        <v>210</v>
      </c>
      <c r="L5" s="238" t="s">
        <v>15</v>
      </c>
    </row>
    <row r="6">
      <c r="A6" s="123"/>
      <c r="B6" s="124" t="s">
        <v>631</v>
      </c>
      <c r="C6" s="125" t="s">
        <v>632</v>
      </c>
      <c r="D6" s="125" t="s">
        <v>633</v>
      </c>
      <c r="E6" s="129" t="s">
        <v>634</v>
      </c>
      <c r="F6" s="129" t="s">
        <v>690</v>
      </c>
      <c r="G6" s="129" t="s">
        <v>691</v>
      </c>
      <c r="H6" s="129" t="s">
        <v>675</v>
      </c>
      <c r="I6" s="129" t="s">
        <v>676</v>
      </c>
      <c r="J6" s="129" t="s">
        <v>677</v>
      </c>
      <c r="K6" s="129" t="s">
        <v>635</v>
      </c>
      <c r="L6" s="129" t="s">
        <v>692</v>
      </c>
    </row>
    <row r="7">
      <c r="A7" s="123">
        <v>1.0</v>
      </c>
      <c r="B7" s="124" t="s">
        <v>420</v>
      </c>
      <c r="C7" s="125" t="s">
        <v>421</v>
      </c>
      <c r="D7" s="125" t="s">
        <v>424</v>
      </c>
      <c r="E7" s="129"/>
      <c r="F7" s="129" t="s">
        <v>693</v>
      </c>
      <c r="G7" s="129"/>
      <c r="H7" s="129"/>
      <c r="I7" s="129">
        <v>1709.5</v>
      </c>
      <c r="J7" s="129"/>
      <c r="K7" s="129" t="s">
        <v>694</v>
      </c>
      <c r="L7" s="129" t="s">
        <v>695</v>
      </c>
    </row>
    <row r="8">
      <c r="A8" s="123">
        <v>2.0</v>
      </c>
      <c r="B8" s="124" t="s">
        <v>423</v>
      </c>
      <c r="C8" s="125" t="s">
        <v>424</v>
      </c>
      <c r="D8" s="125" t="s">
        <v>426</v>
      </c>
      <c r="E8" s="129"/>
      <c r="F8" s="129" t="s">
        <v>693</v>
      </c>
      <c r="G8" s="129"/>
      <c r="H8" s="129"/>
      <c r="I8" s="129">
        <v>651.0</v>
      </c>
      <c r="J8" s="129"/>
      <c r="K8" s="129" t="s">
        <v>695</v>
      </c>
      <c r="L8" s="129" t="s">
        <v>696</v>
      </c>
    </row>
    <row r="9">
      <c r="A9" s="124">
        <v>3.0</v>
      </c>
      <c r="B9" s="124" t="s">
        <v>425</v>
      </c>
      <c r="C9" s="125" t="s">
        <v>426</v>
      </c>
      <c r="D9" s="125" t="s">
        <v>697</v>
      </c>
      <c r="E9" s="248"/>
      <c r="F9" s="129" t="s">
        <v>693</v>
      </c>
      <c r="G9" s="248"/>
      <c r="H9" s="248"/>
      <c r="I9" s="248">
        <v>120.0</v>
      </c>
      <c r="J9" s="129"/>
      <c r="K9" s="129" t="s">
        <v>696</v>
      </c>
      <c r="L9" s="129" t="s">
        <v>698</v>
      </c>
    </row>
    <row r="10">
      <c r="A10" s="240"/>
      <c r="B10" s="242" t="s">
        <v>429</v>
      </c>
      <c r="C10" s="243"/>
      <c r="D10" s="243"/>
      <c r="E10" s="132"/>
      <c r="F10" s="132"/>
      <c r="G10" s="132"/>
      <c r="H10" s="132"/>
      <c r="I10" s="132">
        <f>SUM(I7:I9)</f>
        <v>2480.5</v>
      </c>
      <c r="J10" s="132"/>
      <c r="K10" s="132"/>
      <c r="L10" s="132"/>
    </row>
    <row r="12">
      <c r="B12" s="41" t="s">
        <v>699</v>
      </c>
    </row>
    <row r="13">
      <c r="B13" s="41" t="s">
        <v>700</v>
      </c>
      <c r="C13" s="19" t="s">
        <v>701</v>
      </c>
      <c r="D13" s="249" t="s">
        <v>702</v>
      </c>
    </row>
    <row r="14">
      <c r="B14" s="41" t="s">
        <v>703</v>
      </c>
      <c r="C14" s="215" t="s">
        <v>704</v>
      </c>
      <c r="D14" s="249" t="s">
        <v>705</v>
      </c>
    </row>
    <row r="15">
      <c r="B15" s="245" t="s">
        <v>706</v>
      </c>
      <c r="C15" s="35" t="s">
        <v>707</v>
      </c>
      <c r="D15" s="35" t="s">
        <v>708</v>
      </c>
    </row>
    <row r="16">
      <c r="B16" s="245" t="s">
        <v>641</v>
      </c>
      <c r="C16" s="19" t="s">
        <v>709</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29"/>
    <col customWidth="1" min="2" max="2" width="21.43"/>
    <col customWidth="1" min="3" max="3" width="14.86"/>
    <col customWidth="1" min="4" max="4" width="14.43"/>
    <col customWidth="1" min="5" max="5" width="13.14"/>
    <col customWidth="1" min="6" max="6" width="25.71"/>
    <col customWidth="1" min="7" max="7" width="12.29"/>
    <col customWidth="1" min="8" max="8" width="14.86"/>
    <col customWidth="1" min="9" max="12" width="12.29"/>
    <col customWidth="1" min="13" max="13" width="12.86"/>
  </cols>
  <sheetData>
    <row r="1">
      <c r="A1" s="111" t="s">
        <v>710</v>
      </c>
      <c r="B1" s="112"/>
      <c r="C1" s="112"/>
      <c r="D1" s="112"/>
      <c r="E1" s="112"/>
      <c r="F1" s="112"/>
      <c r="G1" s="112"/>
      <c r="H1" s="112"/>
      <c r="I1" s="112"/>
      <c r="J1" s="112"/>
      <c r="K1" s="112"/>
      <c r="L1" s="112"/>
    </row>
    <row r="2">
      <c r="A2" s="11" t="s">
        <v>15</v>
      </c>
      <c r="B2" s="9"/>
      <c r="C2" s="11" t="s">
        <v>114</v>
      </c>
      <c r="D2" s="9"/>
      <c r="E2" s="11" t="s">
        <v>115</v>
      </c>
    </row>
    <row r="3">
      <c r="B3" s="9"/>
      <c r="D3" s="9"/>
      <c r="E3" s="9"/>
      <c r="F3" s="9"/>
      <c r="G3" s="9"/>
      <c r="H3" s="9"/>
      <c r="I3" s="9"/>
      <c r="J3" s="9"/>
      <c r="K3" s="9"/>
      <c r="L3" s="9"/>
    </row>
    <row r="4">
      <c r="B4" s="250" t="s">
        <v>397</v>
      </c>
      <c r="C4" s="188"/>
      <c r="D4" s="188"/>
      <c r="E4" s="188"/>
      <c r="F4" s="189"/>
      <c r="G4" s="251" t="s">
        <v>398</v>
      </c>
      <c r="H4" s="188"/>
      <c r="I4" s="188"/>
      <c r="J4" s="188"/>
      <c r="K4" s="188"/>
      <c r="L4" s="188"/>
      <c r="M4" s="189"/>
    </row>
    <row r="5">
      <c r="A5" s="252" t="s">
        <v>1</v>
      </c>
      <c r="B5" s="238" t="s">
        <v>22</v>
      </c>
      <c r="C5" s="238" t="s">
        <v>400</v>
      </c>
      <c r="D5" s="238" t="s">
        <v>401</v>
      </c>
      <c r="E5" s="238" t="s">
        <v>626</v>
      </c>
      <c r="F5" s="238" t="s">
        <v>711</v>
      </c>
      <c r="G5" s="238" t="s">
        <v>23</v>
      </c>
      <c r="H5" s="238" t="s">
        <v>543</v>
      </c>
      <c r="I5" s="238" t="s">
        <v>650</v>
      </c>
      <c r="J5" s="238" t="s">
        <v>403</v>
      </c>
      <c r="K5" s="238" t="s">
        <v>651</v>
      </c>
      <c r="L5" s="238" t="s">
        <v>167</v>
      </c>
      <c r="M5" s="238" t="s">
        <v>168</v>
      </c>
    </row>
    <row r="6">
      <c r="A6" s="123"/>
      <c r="B6" s="124" t="s">
        <v>674</v>
      </c>
      <c r="C6" s="125" t="s">
        <v>632</v>
      </c>
      <c r="D6" s="125" t="s">
        <v>633</v>
      </c>
      <c r="E6" s="129" t="s">
        <v>634</v>
      </c>
      <c r="F6" s="129" t="s">
        <v>635</v>
      </c>
      <c r="G6" s="129" t="s">
        <v>638</v>
      </c>
      <c r="H6" s="129" t="s">
        <v>712</v>
      </c>
      <c r="I6" s="129" t="s">
        <v>655</v>
      </c>
      <c r="J6" s="129" t="s">
        <v>656</v>
      </c>
      <c r="K6" s="129" t="s">
        <v>657</v>
      </c>
      <c r="L6" s="129" t="s">
        <v>713</v>
      </c>
      <c r="M6" s="129" t="s">
        <v>714</v>
      </c>
    </row>
    <row r="7">
      <c r="A7" s="123">
        <v>1.0</v>
      </c>
      <c r="B7" s="124" t="s">
        <v>420</v>
      </c>
      <c r="C7" s="125" t="s">
        <v>421</v>
      </c>
      <c r="D7" s="125" t="s">
        <v>424</v>
      </c>
      <c r="E7" s="129"/>
      <c r="F7" s="129"/>
      <c r="G7" s="129"/>
      <c r="H7" s="129"/>
      <c r="I7" s="129"/>
      <c r="J7" s="129"/>
      <c r="K7" s="129"/>
      <c r="L7" s="129"/>
      <c r="M7" s="129"/>
    </row>
    <row r="8">
      <c r="A8" s="123">
        <v>2.0</v>
      </c>
      <c r="B8" s="124" t="s">
        <v>423</v>
      </c>
      <c r="C8" s="125" t="s">
        <v>424</v>
      </c>
      <c r="D8" s="125" t="s">
        <v>426</v>
      </c>
      <c r="E8" s="129"/>
      <c r="F8" s="129"/>
      <c r="G8" s="129"/>
      <c r="H8" s="129"/>
      <c r="I8" s="129"/>
      <c r="J8" s="129"/>
      <c r="K8" s="129"/>
      <c r="L8" s="129"/>
      <c r="M8" s="129"/>
    </row>
    <row r="9">
      <c r="A9" s="124">
        <v>3.0</v>
      </c>
      <c r="B9" s="124" t="s">
        <v>425</v>
      </c>
      <c r="C9" s="125" t="s">
        <v>426</v>
      </c>
      <c r="D9" s="125" t="s">
        <v>697</v>
      </c>
      <c r="E9" s="248"/>
      <c r="F9" s="248"/>
      <c r="G9" s="248"/>
      <c r="H9" s="248"/>
      <c r="I9" s="248"/>
      <c r="J9" s="248"/>
      <c r="K9" s="248"/>
      <c r="L9" s="248"/>
      <c r="M9" s="129"/>
    </row>
    <row r="10">
      <c r="A10" s="240"/>
      <c r="B10" s="242" t="s">
        <v>429</v>
      </c>
      <c r="C10" s="243"/>
      <c r="D10" s="243"/>
      <c r="E10" s="132"/>
      <c r="F10" s="132"/>
      <c r="G10" s="132"/>
      <c r="H10" s="132"/>
      <c r="I10" s="132"/>
      <c r="J10" s="132"/>
      <c r="K10" s="132"/>
      <c r="L10" s="132"/>
      <c r="M10" s="132"/>
    </row>
    <row r="12">
      <c r="B12" s="41"/>
    </row>
    <row r="13">
      <c r="B13" s="41"/>
      <c r="D13" s="249"/>
    </row>
    <row r="14">
      <c r="B14" s="245" t="s">
        <v>715</v>
      </c>
      <c r="C14" s="215" t="s">
        <v>716</v>
      </c>
      <c r="D14" s="249"/>
    </row>
    <row r="15">
      <c r="C15" s="35"/>
      <c r="D15" s="35"/>
    </row>
    <row r="16">
      <c r="B16" s="245" t="s">
        <v>641</v>
      </c>
      <c r="C16" s="19" t="s">
        <v>717</v>
      </c>
    </row>
  </sheetData>
  <mergeCells count="2">
    <mergeCell ref="B4:F4"/>
    <mergeCell ref="G4:M4"/>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29"/>
    <col customWidth="1" min="2" max="2" width="21.43"/>
    <col customWidth="1" min="3" max="3" width="14.86"/>
    <col customWidth="1" min="4" max="4" width="14.43"/>
    <col customWidth="1" min="5" max="5" width="13.14"/>
    <col customWidth="1" min="6" max="6" width="14.0"/>
    <col customWidth="1" min="7" max="7" width="13.57"/>
    <col customWidth="1" min="8" max="8" width="15.29"/>
    <col customWidth="1" min="9" max="9" width="17.29"/>
    <col customWidth="1" min="10" max="10" width="21.0"/>
    <col customWidth="1" min="11" max="11" width="13.71"/>
    <col customWidth="1" min="12" max="12" width="16.57"/>
    <col customWidth="1" min="13" max="14" width="12.29"/>
    <col customWidth="1" min="15" max="15" width="12.86"/>
  </cols>
  <sheetData>
    <row r="1">
      <c r="A1" s="111" t="s">
        <v>718</v>
      </c>
      <c r="B1" s="112"/>
      <c r="C1" s="112"/>
      <c r="D1" s="112"/>
      <c r="E1" s="112"/>
      <c r="F1" s="112"/>
      <c r="G1" s="112"/>
      <c r="H1" s="112"/>
      <c r="I1" s="112"/>
      <c r="J1" s="112"/>
      <c r="K1" s="112"/>
      <c r="L1" s="112"/>
      <c r="M1" s="112"/>
      <c r="N1" s="112"/>
    </row>
    <row r="2">
      <c r="A2" s="11" t="s">
        <v>15</v>
      </c>
      <c r="B2" s="9"/>
      <c r="C2" s="11" t="s">
        <v>114</v>
      </c>
      <c r="D2" s="9"/>
      <c r="E2" s="11" t="s">
        <v>115</v>
      </c>
    </row>
    <row r="3">
      <c r="B3" s="9"/>
      <c r="D3" s="9"/>
      <c r="E3" s="9"/>
      <c r="F3" s="9"/>
      <c r="G3" s="9"/>
      <c r="H3" s="9"/>
      <c r="I3" s="9"/>
      <c r="J3" s="9"/>
      <c r="K3" s="9"/>
      <c r="L3" s="9"/>
      <c r="M3" s="9"/>
      <c r="N3" s="9"/>
    </row>
    <row r="4">
      <c r="B4" s="250" t="s">
        <v>397</v>
      </c>
      <c r="C4" s="188"/>
      <c r="D4" s="188"/>
      <c r="E4" s="188"/>
      <c r="F4" s="188"/>
      <c r="G4" s="188"/>
      <c r="H4" s="189"/>
      <c r="I4" s="251" t="s">
        <v>293</v>
      </c>
      <c r="J4" s="188"/>
      <c r="K4" s="188"/>
      <c r="L4" s="188"/>
      <c r="M4" s="188"/>
      <c r="N4" s="188"/>
      <c r="O4" s="189"/>
    </row>
    <row r="5">
      <c r="A5" s="252" t="s">
        <v>1</v>
      </c>
      <c r="B5" s="238" t="s">
        <v>22</v>
      </c>
      <c r="C5" s="238" t="s">
        <v>400</v>
      </c>
      <c r="D5" s="238" t="s">
        <v>401</v>
      </c>
      <c r="E5" s="238" t="s">
        <v>626</v>
      </c>
      <c r="F5" s="238" t="s">
        <v>711</v>
      </c>
      <c r="G5" s="238" t="s">
        <v>629</v>
      </c>
      <c r="H5" s="238" t="s">
        <v>628</v>
      </c>
      <c r="I5" s="238" t="s">
        <v>23</v>
      </c>
      <c r="J5" s="238" t="s">
        <v>543</v>
      </c>
      <c r="K5" s="238" t="s">
        <v>650</v>
      </c>
      <c r="L5" s="238" t="s">
        <v>403</v>
      </c>
      <c r="M5" s="238" t="s">
        <v>651</v>
      </c>
      <c r="N5" s="238" t="s">
        <v>167</v>
      </c>
      <c r="O5" s="238" t="s">
        <v>168</v>
      </c>
    </row>
    <row r="6">
      <c r="A6" s="123"/>
      <c r="B6" s="124" t="s">
        <v>674</v>
      </c>
      <c r="C6" s="125" t="s">
        <v>632</v>
      </c>
      <c r="D6" s="125" t="s">
        <v>633</v>
      </c>
      <c r="E6" s="129" t="s">
        <v>634</v>
      </c>
      <c r="F6" s="129" t="s">
        <v>635</v>
      </c>
      <c r="G6" s="129" t="s">
        <v>637</v>
      </c>
      <c r="H6" s="129" t="s">
        <v>636</v>
      </c>
      <c r="I6" s="129" t="s">
        <v>638</v>
      </c>
      <c r="J6" s="129" t="s">
        <v>712</v>
      </c>
      <c r="K6" s="129" t="s">
        <v>655</v>
      </c>
      <c r="L6" s="129" t="s">
        <v>656</v>
      </c>
      <c r="M6" s="129" t="s">
        <v>657</v>
      </c>
      <c r="N6" s="129" t="s">
        <v>713</v>
      </c>
      <c r="O6" s="129" t="s">
        <v>714</v>
      </c>
    </row>
    <row r="7">
      <c r="A7" s="123">
        <v>1.0</v>
      </c>
      <c r="B7" s="124" t="s">
        <v>420</v>
      </c>
      <c r="C7" s="125" t="s">
        <v>421</v>
      </c>
      <c r="D7" s="125" t="s">
        <v>424</v>
      </c>
      <c r="E7" s="129"/>
      <c r="F7" s="129"/>
      <c r="G7" s="129"/>
      <c r="H7" s="129"/>
      <c r="I7" s="129"/>
      <c r="J7" s="129"/>
      <c r="K7" s="129"/>
      <c r="L7" s="129"/>
      <c r="M7" s="129"/>
      <c r="N7" s="129"/>
      <c r="O7" s="129"/>
    </row>
    <row r="8">
      <c r="A8" s="123">
        <v>2.0</v>
      </c>
      <c r="B8" s="124" t="s">
        <v>423</v>
      </c>
      <c r="C8" s="125" t="s">
        <v>424</v>
      </c>
      <c r="D8" s="125" t="s">
        <v>426</v>
      </c>
      <c r="E8" s="129"/>
      <c r="F8" s="129"/>
      <c r="G8" s="129"/>
      <c r="H8" s="129"/>
      <c r="I8" s="129"/>
      <c r="J8" s="129"/>
      <c r="K8" s="129"/>
      <c r="L8" s="129"/>
      <c r="M8" s="129"/>
      <c r="N8" s="129"/>
      <c r="O8" s="129"/>
    </row>
    <row r="9">
      <c r="A9" s="124">
        <v>3.0</v>
      </c>
      <c r="B9" s="124" t="s">
        <v>425</v>
      </c>
      <c r="C9" s="125" t="s">
        <v>426</v>
      </c>
      <c r="D9" s="125" t="s">
        <v>697</v>
      </c>
      <c r="E9" s="248"/>
      <c r="F9" s="248"/>
      <c r="G9" s="129"/>
      <c r="H9" s="129"/>
      <c r="I9" s="248"/>
      <c r="J9" s="248"/>
      <c r="K9" s="248"/>
      <c r="L9" s="248"/>
      <c r="M9" s="248"/>
      <c r="N9" s="248"/>
      <c r="O9" s="129"/>
    </row>
    <row r="10">
      <c r="A10" s="240"/>
      <c r="B10" s="242" t="s">
        <v>429</v>
      </c>
      <c r="C10" s="243"/>
      <c r="D10" s="243"/>
      <c r="E10" s="132"/>
      <c r="F10" s="132"/>
      <c r="G10" s="132"/>
      <c r="H10" s="132"/>
      <c r="I10" s="132"/>
      <c r="J10" s="132"/>
      <c r="K10" s="132"/>
      <c r="L10" s="132"/>
      <c r="M10" s="132"/>
      <c r="N10" s="132"/>
      <c r="O10" s="132"/>
    </row>
    <row r="12">
      <c r="B12" s="41"/>
    </row>
    <row r="13">
      <c r="B13" s="41"/>
      <c r="D13" s="249"/>
    </row>
    <row r="14">
      <c r="B14" s="245" t="s">
        <v>715</v>
      </c>
      <c r="C14" s="215" t="s">
        <v>719</v>
      </c>
      <c r="D14" s="249"/>
    </row>
    <row r="15">
      <c r="C15" s="35"/>
      <c r="D15" s="35"/>
    </row>
    <row r="16">
      <c r="B16" s="245" t="s">
        <v>641</v>
      </c>
      <c r="C16" s="19" t="s">
        <v>720</v>
      </c>
    </row>
    <row r="18">
      <c r="A18" s="41" t="s">
        <v>721</v>
      </c>
    </row>
    <row r="19">
      <c r="A19" s="19" t="s">
        <v>722</v>
      </c>
    </row>
    <row r="21">
      <c r="A21" s="215" t="s">
        <v>723</v>
      </c>
    </row>
    <row r="22">
      <c r="A22" s="19" t="s">
        <v>724</v>
      </c>
    </row>
  </sheetData>
  <mergeCells count="2">
    <mergeCell ref="B4:H4"/>
    <mergeCell ref="I4:O4"/>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43"/>
    <col customWidth="1" min="3" max="3" width="25.29"/>
    <col customWidth="1" min="4" max="4" width="26.29"/>
    <col customWidth="1" min="5" max="5" width="13.14"/>
    <col customWidth="1" min="6" max="6" width="18.86"/>
    <col customWidth="1" min="8" max="8" width="16.29"/>
  </cols>
  <sheetData>
    <row r="1">
      <c r="A1" s="112" t="s">
        <v>725</v>
      </c>
    </row>
    <row r="2">
      <c r="A2" s="11" t="s">
        <v>15</v>
      </c>
      <c r="B2" s="9"/>
      <c r="C2" s="11" t="s">
        <v>114</v>
      </c>
      <c r="D2" s="9"/>
      <c r="E2" s="11" t="s">
        <v>115</v>
      </c>
      <c r="F2" s="11"/>
    </row>
    <row r="3">
      <c r="B3" s="9"/>
      <c r="D3" s="9"/>
      <c r="E3" s="9"/>
      <c r="F3" s="9"/>
      <c r="G3" s="9"/>
      <c r="H3" s="9"/>
    </row>
    <row r="5">
      <c r="A5" s="237" t="s">
        <v>1</v>
      </c>
      <c r="B5" s="238" t="s">
        <v>22</v>
      </c>
      <c r="C5" s="238" t="s">
        <v>400</v>
      </c>
      <c r="D5" s="238" t="s">
        <v>401</v>
      </c>
      <c r="E5" s="238" t="s">
        <v>626</v>
      </c>
      <c r="F5" s="238" t="s">
        <v>565</v>
      </c>
      <c r="G5" s="238" t="s">
        <v>566</v>
      </c>
      <c r="H5" s="238" t="s">
        <v>726</v>
      </c>
      <c r="I5" s="238" t="s">
        <v>210</v>
      </c>
      <c r="J5" s="238" t="s">
        <v>15</v>
      </c>
    </row>
    <row r="6">
      <c r="A6" s="123"/>
      <c r="B6" s="124" t="s">
        <v>631</v>
      </c>
      <c r="C6" s="125" t="s">
        <v>632</v>
      </c>
      <c r="D6" s="125" t="s">
        <v>633</v>
      </c>
      <c r="E6" s="129" t="s">
        <v>634</v>
      </c>
      <c r="F6" s="129" t="s">
        <v>690</v>
      </c>
      <c r="G6" s="129" t="s">
        <v>691</v>
      </c>
      <c r="H6" s="129" t="s">
        <v>727</v>
      </c>
      <c r="I6" s="129" t="s">
        <v>635</v>
      </c>
      <c r="J6" s="129" t="s">
        <v>692</v>
      </c>
    </row>
    <row r="7">
      <c r="A7" s="123">
        <v>1.0</v>
      </c>
      <c r="B7" s="124" t="s">
        <v>420</v>
      </c>
      <c r="C7" s="125" t="s">
        <v>421</v>
      </c>
      <c r="D7" s="125" t="s">
        <v>424</v>
      </c>
      <c r="E7" s="129"/>
      <c r="F7" s="129" t="s">
        <v>693</v>
      </c>
      <c r="G7" s="129"/>
      <c r="H7" s="129">
        <v>12.0</v>
      </c>
      <c r="I7" s="129" t="s">
        <v>694</v>
      </c>
      <c r="J7" s="129" t="s">
        <v>695</v>
      </c>
    </row>
    <row r="8">
      <c r="A8" s="123">
        <v>2.0</v>
      </c>
      <c r="B8" s="124" t="s">
        <v>423</v>
      </c>
      <c r="C8" s="125" t="s">
        <v>424</v>
      </c>
      <c r="D8" s="125" t="s">
        <v>426</v>
      </c>
      <c r="E8" s="129"/>
      <c r="F8" s="129" t="s">
        <v>693</v>
      </c>
      <c r="G8" s="129"/>
      <c r="H8" s="129">
        <v>143.0</v>
      </c>
      <c r="I8" s="129" t="s">
        <v>695</v>
      </c>
      <c r="J8" s="129" t="s">
        <v>696</v>
      </c>
    </row>
    <row r="9">
      <c r="A9" s="124">
        <v>3.0</v>
      </c>
      <c r="B9" s="124" t="s">
        <v>425</v>
      </c>
      <c r="C9" s="125" t="s">
        <v>426</v>
      </c>
      <c r="D9" s="125" t="s">
        <v>697</v>
      </c>
      <c r="E9" s="248"/>
      <c r="F9" s="129" t="s">
        <v>693</v>
      </c>
      <c r="G9" s="248"/>
      <c r="H9" s="248"/>
      <c r="I9" s="129" t="s">
        <v>696</v>
      </c>
      <c r="J9" s="129" t="s">
        <v>698</v>
      </c>
    </row>
    <row r="10">
      <c r="A10" s="240"/>
      <c r="B10" s="242" t="s">
        <v>429</v>
      </c>
      <c r="C10" s="243"/>
      <c r="D10" s="243"/>
      <c r="E10" s="132"/>
      <c r="F10" s="132"/>
      <c r="G10" s="132"/>
      <c r="H10" s="132"/>
      <c r="I10" s="132"/>
      <c r="J10" s="132"/>
    </row>
    <row r="12">
      <c r="B12" s="41" t="s">
        <v>699</v>
      </c>
    </row>
    <row r="13">
      <c r="B13" s="41" t="s">
        <v>700</v>
      </c>
      <c r="C13" s="19" t="s">
        <v>701</v>
      </c>
      <c r="D13" s="249" t="s">
        <v>702</v>
      </c>
    </row>
    <row r="14">
      <c r="B14" s="41" t="s">
        <v>703</v>
      </c>
      <c r="C14" s="215" t="s">
        <v>728</v>
      </c>
      <c r="D14" s="249" t="s">
        <v>705</v>
      </c>
    </row>
    <row r="15">
      <c r="B15" s="245" t="s">
        <v>706</v>
      </c>
      <c r="C15" s="35" t="s">
        <v>707</v>
      </c>
      <c r="D15" s="35" t="s">
        <v>708</v>
      </c>
    </row>
    <row r="16">
      <c r="B16" s="245" t="s">
        <v>641</v>
      </c>
      <c r="C16" s="19" t="s">
        <v>729</v>
      </c>
    </row>
  </sheetData>
  <mergeCells count="1">
    <mergeCell ref="A1:E1"/>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43"/>
    <col customWidth="1" min="3" max="3" width="31.43"/>
    <col customWidth="1" min="4" max="4" width="26.29"/>
    <col customWidth="1" min="5" max="5" width="13.14"/>
    <col customWidth="1" min="6" max="6" width="18.86"/>
    <col customWidth="1" min="8" max="8" width="16.29"/>
    <col customWidth="1" min="10" max="10" width="22.43"/>
    <col customWidth="1" min="11" max="12" width="16.29"/>
    <col customWidth="1" min="15" max="15" width="16.43"/>
  </cols>
  <sheetData>
    <row r="1">
      <c r="A1" s="112" t="s">
        <v>725</v>
      </c>
    </row>
    <row r="2">
      <c r="A2" s="11" t="s">
        <v>15</v>
      </c>
      <c r="B2" s="9"/>
      <c r="C2" s="11" t="s">
        <v>114</v>
      </c>
      <c r="D2" s="9"/>
      <c r="E2" s="11" t="s">
        <v>115</v>
      </c>
      <c r="F2" s="11"/>
    </row>
    <row r="3">
      <c r="B3" s="9"/>
      <c r="D3" s="9"/>
      <c r="E3" s="9"/>
      <c r="F3" s="9"/>
      <c r="G3" s="9"/>
      <c r="H3" s="9"/>
      <c r="K3" s="9"/>
      <c r="L3" s="9"/>
    </row>
    <row r="5">
      <c r="A5" s="237" t="s">
        <v>1</v>
      </c>
      <c r="B5" s="238" t="s">
        <v>22</v>
      </c>
      <c r="C5" s="238" t="s">
        <v>400</v>
      </c>
      <c r="D5" s="238" t="s">
        <v>401</v>
      </c>
      <c r="E5" s="238" t="s">
        <v>626</v>
      </c>
      <c r="F5" s="238" t="s">
        <v>565</v>
      </c>
      <c r="G5" s="238" t="s">
        <v>566</v>
      </c>
      <c r="H5" s="238" t="s">
        <v>726</v>
      </c>
      <c r="I5" s="238" t="s">
        <v>210</v>
      </c>
      <c r="J5" s="238" t="s">
        <v>730</v>
      </c>
      <c r="K5" s="238" t="s">
        <v>23</v>
      </c>
      <c r="L5" s="238" t="s">
        <v>650</v>
      </c>
      <c r="M5" s="238" t="s">
        <v>403</v>
      </c>
      <c r="N5" s="238" t="s">
        <v>651</v>
      </c>
      <c r="O5" s="238" t="s">
        <v>673</v>
      </c>
    </row>
    <row r="6">
      <c r="A6" s="123"/>
      <c r="B6" s="124" t="s">
        <v>631</v>
      </c>
      <c r="C6" s="125" t="s">
        <v>632</v>
      </c>
      <c r="D6" s="125" t="s">
        <v>633</v>
      </c>
      <c r="E6" s="129" t="s">
        <v>634</v>
      </c>
      <c r="F6" s="129" t="s">
        <v>690</v>
      </c>
      <c r="G6" s="129" t="s">
        <v>691</v>
      </c>
      <c r="H6" s="253" t="s">
        <v>727</v>
      </c>
      <c r="I6" s="253" t="s">
        <v>635</v>
      </c>
      <c r="J6" s="254" t="s">
        <v>731</v>
      </c>
      <c r="K6" s="253" t="s">
        <v>638</v>
      </c>
      <c r="L6" s="253" t="s">
        <v>655</v>
      </c>
      <c r="M6" s="253" t="s">
        <v>656</v>
      </c>
      <c r="N6" s="253" t="s">
        <v>657</v>
      </c>
      <c r="O6" s="253" t="s">
        <v>732</v>
      </c>
    </row>
    <row r="7">
      <c r="A7" s="123">
        <v>1.0</v>
      </c>
      <c r="B7" s="124" t="s">
        <v>420</v>
      </c>
      <c r="C7" s="125" t="s">
        <v>421</v>
      </c>
      <c r="D7" s="125" t="s">
        <v>424</v>
      </c>
      <c r="E7" s="129"/>
      <c r="F7" s="129" t="s">
        <v>693</v>
      </c>
      <c r="G7" s="129"/>
      <c r="H7" s="129"/>
      <c r="I7" s="129"/>
      <c r="J7" s="129"/>
      <c r="K7" s="129"/>
      <c r="L7" s="129"/>
      <c r="M7" s="129"/>
      <c r="N7" s="129"/>
      <c r="O7" s="129"/>
    </row>
    <row r="8">
      <c r="A8" s="123">
        <v>2.0</v>
      </c>
      <c r="B8" s="124" t="s">
        <v>423</v>
      </c>
      <c r="C8" s="125" t="s">
        <v>424</v>
      </c>
      <c r="D8" s="125" t="s">
        <v>426</v>
      </c>
      <c r="E8" s="129"/>
      <c r="F8" s="129" t="s">
        <v>693</v>
      </c>
      <c r="G8" s="129"/>
      <c r="H8" s="129"/>
      <c r="I8" s="129"/>
      <c r="J8" s="129"/>
      <c r="K8" s="129"/>
      <c r="L8" s="129"/>
      <c r="M8" s="129"/>
      <c r="N8" s="129"/>
      <c r="O8" s="129"/>
    </row>
    <row r="9">
      <c r="A9" s="124">
        <v>3.0</v>
      </c>
      <c r="B9" s="124" t="s">
        <v>425</v>
      </c>
      <c r="C9" s="125" t="s">
        <v>426</v>
      </c>
      <c r="D9" s="125" t="s">
        <v>697</v>
      </c>
      <c r="E9" s="248"/>
      <c r="F9" s="129" t="s">
        <v>693</v>
      </c>
      <c r="G9" s="248"/>
      <c r="H9" s="248"/>
      <c r="I9" s="129"/>
      <c r="J9" s="129"/>
      <c r="K9" s="248"/>
      <c r="L9" s="248"/>
      <c r="M9" s="129"/>
      <c r="N9" s="129"/>
      <c r="O9" s="129"/>
    </row>
    <row r="10">
      <c r="A10" s="240"/>
      <c r="B10" s="242" t="s">
        <v>429</v>
      </c>
      <c r="C10" s="243"/>
      <c r="D10" s="243"/>
      <c r="E10" s="132"/>
      <c r="F10" s="132"/>
      <c r="G10" s="132"/>
      <c r="H10" s="132"/>
      <c r="I10" s="132"/>
      <c r="J10" s="132"/>
      <c r="K10" s="132"/>
      <c r="L10" s="132"/>
      <c r="M10" s="132"/>
      <c r="N10" s="132"/>
      <c r="O10" s="132"/>
    </row>
    <row r="12">
      <c r="B12" s="41" t="s">
        <v>733</v>
      </c>
    </row>
    <row r="13">
      <c r="B13" s="41" t="s">
        <v>700</v>
      </c>
      <c r="C13" s="19" t="s">
        <v>701</v>
      </c>
      <c r="D13" s="249" t="s">
        <v>702</v>
      </c>
    </row>
    <row r="14">
      <c r="B14" s="41" t="s">
        <v>703</v>
      </c>
      <c r="C14" s="215" t="s">
        <v>734</v>
      </c>
      <c r="D14" s="249" t="s">
        <v>705</v>
      </c>
    </row>
    <row r="15">
      <c r="B15" s="245" t="s">
        <v>706</v>
      </c>
      <c r="C15" s="35" t="s">
        <v>707</v>
      </c>
      <c r="D15" s="35" t="s">
        <v>708</v>
      </c>
    </row>
    <row r="16">
      <c r="B16" s="245" t="s">
        <v>641</v>
      </c>
      <c r="C16" s="19" t="s">
        <v>735</v>
      </c>
    </row>
  </sheetData>
  <mergeCells count="1">
    <mergeCell ref="A1:E1"/>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29"/>
    <col customWidth="1" min="2" max="2" width="16.57"/>
    <col customWidth="1" min="4" max="4" width="16.14"/>
    <col customWidth="1" min="5" max="5" width="16.0"/>
    <col customWidth="1" min="6" max="6" width="8.14"/>
    <col customWidth="1" min="13" max="13" width="16.14"/>
  </cols>
  <sheetData>
    <row r="1">
      <c r="A1" s="111"/>
      <c r="B1" s="112"/>
      <c r="C1" s="112"/>
      <c r="D1" s="112"/>
      <c r="E1" s="112"/>
      <c r="F1" s="112"/>
      <c r="G1" s="112" t="s">
        <v>736</v>
      </c>
      <c r="H1" s="112"/>
    </row>
    <row r="2">
      <c r="A2" s="255" t="s">
        <v>15</v>
      </c>
      <c r="B2" s="256"/>
      <c r="C2" s="255" t="s">
        <v>114</v>
      </c>
      <c r="D2" s="110"/>
      <c r="E2" s="255"/>
      <c r="F2" s="255" t="s">
        <v>115</v>
      </c>
      <c r="G2" s="256"/>
      <c r="H2" s="255" t="s">
        <v>21</v>
      </c>
      <c r="I2" s="255"/>
      <c r="J2" s="255" t="s">
        <v>23</v>
      </c>
      <c r="K2" s="255"/>
      <c r="L2" s="255" t="s">
        <v>737</v>
      </c>
      <c r="M2" s="255"/>
      <c r="N2" s="255" t="s">
        <v>19</v>
      </c>
    </row>
    <row r="3">
      <c r="B3" s="9"/>
      <c r="C3" s="11"/>
      <c r="G3" s="9"/>
      <c r="H3" s="9"/>
    </row>
    <row r="4">
      <c r="A4" s="230" t="s">
        <v>1</v>
      </c>
      <c r="B4" s="231" t="s">
        <v>23</v>
      </c>
      <c r="C4" s="231" t="s">
        <v>20</v>
      </c>
      <c r="D4" s="232" t="s">
        <v>19</v>
      </c>
      <c r="E4" s="232" t="s">
        <v>737</v>
      </c>
      <c r="F4" s="117" t="s">
        <v>612</v>
      </c>
      <c r="G4" s="117" t="s">
        <v>402</v>
      </c>
      <c r="H4" s="117" t="s">
        <v>403</v>
      </c>
      <c r="I4" s="117" t="s">
        <v>404</v>
      </c>
      <c r="J4" s="117" t="s">
        <v>738</v>
      </c>
      <c r="K4" s="117" t="s">
        <v>653</v>
      </c>
      <c r="L4" s="117" t="s">
        <v>739</v>
      </c>
      <c r="M4" s="232" t="s">
        <v>740</v>
      </c>
    </row>
    <row r="5">
      <c r="A5" s="257"/>
      <c r="B5" s="258"/>
      <c r="C5" s="259"/>
      <c r="D5" s="260"/>
      <c r="E5" s="260"/>
      <c r="F5" s="129"/>
      <c r="G5" s="128"/>
      <c r="H5" s="128"/>
      <c r="I5" s="128"/>
      <c r="J5" s="128"/>
      <c r="K5" s="128"/>
      <c r="L5" s="128"/>
      <c r="M5" s="261"/>
    </row>
    <row r="6">
      <c r="A6" s="123">
        <v>1.0</v>
      </c>
      <c r="B6" s="234" t="s">
        <v>617</v>
      </c>
      <c r="C6" s="125" t="s">
        <v>422</v>
      </c>
      <c r="D6" s="129" t="s">
        <v>741</v>
      </c>
      <c r="E6" s="129" t="s">
        <v>611</v>
      </c>
      <c r="F6" s="129">
        <v>4.0</v>
      </c>
      <c r="G6" s="262">
        <v>6.13</v>
      </c>
      <c r="H6" s="262">
        <v>0.32</v>
      </c>
      <c r="I6" s="262">
        <f t="shared" ref="I6:I8" si="1">G6-H6</f>
        <v>5.81</v>
      </c>
      <c r="J6" s="262">
        <v>6.130000000000001</v>
      </c>
      <c r="K6" s="262">
        <v>0.32</v>
      </c>
      <c r="L6" s="262">
        <f t="shared" ref="L6:L7" si="2">J6-K6</f>
        <v>5.81</v>
      </c>
      <c r="M6" s="262">
        <f>L6*61/100</f>
        <v>3.5441</v>
      </c>
    </row>
    <row r="7">
      <c r="A7" s="127">
        <v>2.0</v>
      </c>
      <c r="B7" s="234" t="s">
        <v>742</v>
      </c>
      <c r="C7" s="125" t="s">
        <v>422</v>
      </c>
      <c r="D7" s="129" t="s">
        <v>743</v>
      </c>
      <c r="E7" s="129" t="s">
        <v>609</v>
      </c>
      <c r="F7" s="129">
        <v>2.0</v>
      </c>
      <c r="G7" s="262">
        <v>102.43</v>
      </c>
      <c r="H7" s="262">
        <v>10.872</v>
      </c>
      <c r="I7" s="262">
        <f t="shared" si="1"/>
        <v>91.558</v>
      </c>
      <c r="J7" s="262">
        <v>12.43</v>
      </c>
      <c r="K7" s="262">
        <v>0.872</v>
      </c>
      <c r="L7" s="262">
        <f t="shared" si="2"/>
        <v>11.558</v>
      </c>
      <c r="M7" s="262">
        <f>L7*99.99/100</f>
        <v>11.5568442</v>
      </c>
    </row>
    <row r="8">
      <c r="A8" s="127">
        <v>3.0</v>
      </c>
      <c r="B8" s="234" t="s">
        <v>744</v>
      </c>
      <c r="C8" s="125" t="s">
        <v>428</v>
      </c>
      <c r="D8" s="129" t="s">
        <v>745</v>
      </c>
      <c r="E8" s="129" t="s">
        <v>610</v>
      </c>
      <c r="F8" s="129">
        <v>6.0</v>
      </c>
      <c r="G8" s="262">
        <v>15.321</v>
      </c>
      <c r="H8" s="262">
        <v>3.431</v>
      </c>
      <c r="I8" s="262">
        <f t="shared" si="1"/>
        <v>11.89</v>
      </c>
      <c r="J8" s="262">
        <f t="shared" ref="J8:L8" si="3">G8/3.75</f>
        <v>4.0856</v>
      </c>
      <c r="K8" s="262">
        <f t="shared" si="3"/>
        <v>0.9149333333</v>
      </c>
      <c r="L8" s="262">
        <f t="shared" si="3"/>
        <v>3.170666667</v>
      </c>
      <c r="M8" s="262">
        <f>L8*75/100</f>
        <v>2.378</v>
      </c>
    </row>
    <row r="9">
      <c r="A9" s="123"/>
      <c r="B9" s="124"/>
      <c r="C9" s="130"/>
      <c r="D9" s="125"/>
      <c r="E9" s="125"/>
      <c r="F9" s="125"/>
      <c r="G9" s="262"/>
      <c r="H9" s="132"/>
      <c r="I9" s="132"/>
      <c r="J9" s="132"/>
      <c r="K9" s="132"/>
      <c r="L9" s="132"/>
      <c r="M9" s="132"/>
    </row>
    <row r="10">
      <c r="A10" s="123"/>
      <c r="B10" s="124"/>
      <c r="C10" s="130" t="s">
        <v>429</v>
      </c>
      <c r="D10" s="125"/>
      <c r="E10" s="125"/>
      <c r="F10" s="263">
        <f>SUM(F5:F8)</f>
        <v>12</v>
      </c>
      <c r="G10" s="264">
        <f t="shared" ref="G10:M10" si="4">SUM(G6:G8)</f>
        <v>123.881</v>
      </c>
      <c r="H10" s="264">
        <f t="shared" si="4"/>
        <v>14.623</v>
      </c>
      <c r="I10" s="264">
        <f t="shared" si="4"/>
        <v>109.258</v>
      </c>
      <c r="J10" s="264">
        <f t="shared" si="4"/>
        <v>22.6456</v>
      </c>
      <c r="K10" s="264">
        <f t="shared" si="4"/>
        <v>2.106933333</v>
      </c>
      <c r="L10" s="264">
        <f t="shared" si="4"/>
        <v>20.53866667</v>
      </c>
      <c r="M10" s="264">
        <f t="shared" si="4"/>
        <v>17.4789442</v>
      </c>
    </row>
    <row r="16">
      <c r="A16" s="41" t="s">
        <v>619</v>
      </c>
      <c r="B16" s="41" t="s">
        <v>746</v>
      </c>
    </row>
    <row r="17">
      <c r="B17" s="19" t="s">
        <v>747</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29"/>
    <col customWidth="1" min="2" max="2" width="16.57"/>
    <col customWidth="1" min="4" max="4" width="16.14"/>
    <col customWidth="1" min="5" max="5" width="16.0"/>
    <col customWidth="1" min="6" max="6" width="8.14"/>
    <col customWidth="1" min="13" max="13" width="16.14"/>
  </cols>
  <sheetData>
    <row r="1">
      <c r="A1" s="111"/>
      <c r="B1" s="112"/>
      <c r="C1" s="112"/>
      <c r="D1" s="112"/>
      <c r="E1" s="112"/>
      <c r="F1" s="112"/>
      <c r="G1" s="112" t="s">
        <v>748</v>
      </c>
      <c r="H1" s="112"/>
    </row>
    <row r="2">
      <c r="A2" s="255" t="s">
        <v>15</v>
      </c>
      <c r="B2" s="256"/>
      <c r="C2" s="255" t="s">
        <v>114</v>
      </c>
      <c r="D2" s="110"/>
      <c r="E2" s="255"/>
      <c r="F2" s="255" t="s">
        <v>115</v>
      </c>
      <c r="G2" s="256"/>
      <c r="H2" s="255" t="s">
        <v>21</v>
      </c>
      <c r="I2" s="255"/>
      <c r="J2" s="255" t="s">
        <v>23</v>
      </c>
      <c r="K2" s="255"/>
      <c r="L2" s="255" t="s">
        <v>737</v>
      </c>
      <c r="M2" s="255"/>
      <c r="N2" s="255" t="s">
        <v>19</v>
      </c>
    </row>
    <row r="3">
      <c r="B3" s="9"/>
      <c r="C3" s="11"/>
      <c r="G3" s="9"/>
      <c r="H3" s="9"/>
    </row>
    <row r="4">
      <c r="A4" s="230" t="s">
        <v>1</v>
      </c>
      <c r="B4" s="231" t="s">
        <v>23</v>
      </c>
      <c r="C4" s="231" t="s">
        <v>20</v>
      </c>
      <c r="D4" s="232" t="s">
        <v>19</v>
      </c>
      <c r="E4" s="232" t="s">
        <v>737</v>
      </c>
      <c r="F4" s="117" t="s">
        <v>612</v>
      </c>
      <c r="G4" s="117" t="s">
        <v>402</v>
      </c>
      <c r="H4" s="117" t="s">
        <v>403</v>
      </c>
      <c r="I4" s="117" t="s">
        <v>404</v>
      </c>
      <c r="J4" s="117" t="s">
        <v>738</v>
      </c>
      <c r="K4" s="117" t="s">
        <v>653</v>
      </c>
      <c r="L4" s="117" t="s">
        <v>739</v>
      </c>
      <c r="M4" s="232" t="s">
        <v>740</v>
      </c>
    </row>
    <row r="5">
      <c r="A5" s="257"/>
      <c r="B5" s="258"/>
      <c r="C5" s="259"/>
      <c r="D5" s="260"/>
      <c r="E5" s="260"/>
      <c r="F5" s="129"/>
      <c r="G5" s="128"/>
      <c r="H5" s="128"/>
      <c r="I5" s="128"/>
      <c r="J5" s="128"/>
      <c r="K5" s="128"/>
      <c r="L5" s="128"/>
      <c r="M5" s="261"/>
    </row>
    <row r="6">
      <c r="A6" s="123">
        <v>1.0</v>
      </c>
      <c r="B6" s="234" t="s">
        <v>617</v>
      </c>
      <c r="C6" s="125" t="s">
        <v>422</v>
      </c>
      <c r="D6" s="129" t="s">
        <v>741</v>
      </c>
      <c r="E6" s="129" t="s">
        <v>611</v>
      </c>
      <c r="F6" s="129">
        <v>4.0</v>
      </c>
      <c r="G6" s="262">
        <v>6.13</v>
      </c>
      <c r="H6" s="262">
        <v>0.32</v>
      </c>
      <c r="I6" s="262">
        <f t="shared" ref="I6:I8" si="1">G6-H6</f>
        <v>5.81</v>
      </c>
      <c r="J6" s="262">
        <v>6.130000000000001</v>
      </c>
      <c r="K6" s="262">
        <v>0.32</v>
      </c>
      <c r="L6" s="262">
        <f t="shared" ref="L6:L7" si="2">J6-K6</f>
        <v>5.81</v>
      </c>
      <c r="M6" s="262">
        <f>L6*61/100</f>
        <v>3.5441</v>
      </c>
    </row>
    <row r="7">
      <c r="A7" s="127">
        <v>2.0</v>
      </c>
      <c r="B7" s="234" t="s">
        <v>742</v>
      </c>
      <c r="C7" s="125" t="s">
        <v>422</v>
      </c>
      <c r="D7" s="129" t="s">
        <v>743</v>
      </c>
      <c r="E7" s="129" t="s">
        <v>609</v>
      </c>
      <c r="F7" s="129">
        <v>2.0</v>
      </c>
      <c r="G7" s="262">
        <v>102.43</v>
      </c>
      <c r="H7" s="262">
        <v>10.872</v>
      </c>
      <c r="I7" s="262">
        <f t="shared" si="1"/>
        <v>91.558</v>
      </c>
      <c r="J7" s="262">
        <v>12.43</v>
      </c>
      <c r="K7" s="262">
        <v>0.872</v>
      </c>
      <c r="L7" s="262">
        <f t="shared" si="2"/>
        <v>11.558</v>
      </c>
      <c r="M7" s="262">
        <f>L7*99.99/100</f>
        <v>11.5568442</v>
      </c>
    </row>
    <row r="8">
      <c r="A8" s="127">
        <v>3.0</v>
      </c>
      <c r="B8" s="234" t="s">
        <v>744</v>
      </c>
      <c r="C8" s="125" t="s">
        <v>428</v>
      </c>
      <c r="D8" s="129" t="s">
        <v>745</v>
      </c>
      <c r="E8" s="129" t="s">
        <v>610</v>
      </c>
      <c r="F8" s="129">
        <v>6.0</v>
      </c>
      <c r="G8" s="262">
        <v>15.321</v>
      </c>
      <c r="H8" s="262">
        <v>3.431</v>
      </c>
      <c r="I8" s="262">
        <f t="shared" si="1"/>
        <v>11.89</v>
      </c>
      <c r="J8" s="262">
        <f t="shared" ref="J8:L8" si="3">G8/3.75</f>
        <v>4.0856</v>
      </c>
      <c r="K8" s="262">
        <f t="shared" si="3"/>
        <v>0.9149333333</v>
      </c>
      <c r="L8" s="262">
        <f t="shared" si="3"/>
        <v>3.170666667</v>
      </c>
      <c r="M8" s="262">
        <f>L8*75/100</f>
        <v>2.378</v>
      </c>
    </row>
    <row r="9">
      <c r="A9" s="123"/>
      <c r="B9" s="124"/>
      <c r="C9" s="130"/>
      <c r="D9" s="125"/>
      <c r="E9" s="125"/>
      <c r="F9" s="125"/>
      <c r="G9" s="262"/>
      <c r="H9" s="132"/>
      <c r="I9" s="132"/>
      <c r="J9" s="132"/>
      <c r="K9" s="132"/>
      <c r="L9" s="132"/>
      <c r="M9" s="132"/>
    </row>
    <row r="10">
      <c r="A10" s="123"/>
      <c r="B10" s="124"/>
      <c r="C10" s="130" t="s">
        <v>429</v>
      </c>
      <c r="D10" s="125"/>
      <c r="E10" s="125"/>
      <c r="F10" s="263">
        <f>SUM(F5:F8)</f>
        <v>12</v>
      </c>
      <c r="G10" s="264">
        <f t="shared" ref="G10:M10" si="4">SUM(G6:G8)</f>
        <v>123.881</v>
      </c>
      <c r="H10" s="264">
        <f t="shared" si="4"/>
        <v>14.623</v>
      </c>
      <c r="I10" s="264">
        <f t="shared" si="4"/>
        <v>109.258</v>
      </c>
      <c r="J10" s="264">
        <f t="shared" si="4"/>
        <v>22.6456</v>
      </c>
      <c r="K10" s="264">
        <f t="shared" si="4"/>
        <v>2.106933333</v>
      </c>
      <c r="L10" s="264">
        <f t="shared" si="4"/>
        <v>20.53866667</v>
      </c>
      <c r="M10" s="264">
        <f t="shared" si="4"/>
        <v>17.4789442</v>
      </c>
    </row>
    <row r="16">
      <c r="A16" s="41" t="s">
        <v>619</v>
      </c>
      <c r="B16" s="41" t="s">
        <v>746</v>
      </c>
    </row>
    <row r="17">
      <c r="B17" s="19" t="s">
        <v>749</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1" t="s">
        <v>750</v>
      </c>
    </row>
    <row r="2">
      <c r="A2" s="19" t="s">
        <v>751</v>
      </c>
    </row>
    <row r="3">
      <c r="A3" s="19" t="s">
        <v>752</v>
      </c>
    </row>
    <row r="6">
      <c r="A6" s="19" t="s">
        <v>378</v>
      </c>
      <c r="I6" s="19" t="s">
        <v>148</v>
      </c>
    </row>
    <row r="7">
      <c r="A7" s="19" t="s">
        <v>753</v>
      </c>
      <c r="I7" s="19" t="s">
        <v>381</v>
      </c>
    </row>
    <row r="8">
      <c r="A8" s="19" t="s">
        <v>754</v>
      </c>
      <c r="I8" s="19" t="s">
        <v>381</v>
      </c>
    </row>
    <row r="9">
      <c r="A9" s="19" t="s">
        <v>755</v>
      </c>
      <c r="I9" s="19" t="s">
        <v>381</v>
      </c>
    </row>
    <row r="10">
      <c r="A10" s="19" t="s">
        <v>756</v>
      </c>
      <c r="I10" s="19" t="s">
        <v>381</v>
      </c>
    </row>
  </sheetData>
  <mergeCells count="6">
    <mergeCell ref="A1:H1"/>
    <mergeCell ref="A2:H2"/>
    <mergeCell ref="A3:H3"/>
    <mergeCell ref="A4:H4"/>
    <mergeCell ref="A5:H5"/>
    <mergeCell ref="A6:H6"/>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4.43"/>
    <col customWidth="1" min="3" max="3" width="21.86"/>
    <col customWidth="1" min="4" max="4" width="19.86"/>
    <col customWidth="1" min="5" max="5" width="22.86"/>
    <col customWidth="1" min="6" max="6" width="20.43"/>
    <col customWidth="1" min="7" max="7" width="22.57"/>
    <col customWidth="1" min="8" max="8" width="21.86"/>
    <col customWidth="1" min="9" max="9" width="18.57"/>
    <col customWidth="1" min="10" max="10" width="21.57"/>
    <col customWidth="1" min="11" max="11" width="19.14"/>
    <col customWidth="1" min="12" max="12" width="20.43"/>
  </cols>
  <sheetData>
    <row r="2" ht="15.75" customHeight="1">
      <c r="A2" s="41">
        <v>1.0</v>
      </c>
      <c r="B2" s="40" t="s">
        <v>757</v>
      </c>
    </row>
    <row r="3" ht="15.75" customHeight="1">
      <c r="B3" s="209" t="s">
        <v>758</v>
      </c>
      <c r="C3" s="210"/>
      <c r="D3" s="210"/>
      <c r="E3" s="210"/>
      <c r="F3" s="210"/>
      <c r="G3" s="210"/>
    </row>
    <row r="4" ht="15.75" customHeight="1">
      <c r="B4" s="265" t="s">
        <v>759</v>
      </c>
      <c r="C4" s="266" t="s">
        <v>760</v>
      </c>
      <c r="D4" s="266" t="s">
        <v>761</v>
      </c>
      <c r="E4" s="165" t="s">
        <v>762</v>
      </c>
      <c r="F4" s="165" t="s">
        <v>401</v>
      </c>
      <c r="G4" s="166" t="s">
        <v>737</v>
      </c>
    </row>
    <row r="5" ht="15.75" customHeight="1">
      <c r="B5" s="167" t="s">
        <v>763</v>
      </c>
      <c r="C5" s="201"/>
      <c r="D5" s="267"/>
      <c r="E5" s="206" t="s">
        <v>764</v>
      </c>
      <c r="F5" s="268">
        <v>45962.0</v>
      </c>
      <c r="G5" s="269" t="s">
        <v>765</v>
      </c>
    </row>
    <row r="6" ht="15.75" customHeight="1">
      <c r="B6" s="270" t="s">
        <v>766</v>
      </c>
      <c r="C6" s="43" t="s">
        <v>3</v>
      </c>
      <c r="F6" s="19" t="s">
        <v>767</v>
      </c>
      <c r="G6" s="169" t="s">
        <v>768</v>
      </c>
    </row>
    <row r="7" ht="15.75" customHeight="1">
      <c r="B7" s="200"/>
      <c r="F7" s="271">
        <v>45968.0</v>
      </c>
      <c r="G7" s="177"/>
      <c r="J7" s="206" t="s">
        <v>769</v>
      </c>
    </row>
    <row r="8" ht="15.75" customHeight="1">
      <c r="B8" s="167" t="s">
        <v>770</v>
      </c>
      <c r="C8" s="19" t="s">
        <v>771</v>
      </c>
      <c r="D8" s="19" t="s">
        <v>772</v>
      </c>
      <c r="E8" s="19" t="s">
        <v>773</v>
      </c>
      <c r="F8" s="43" t="s">
        <v>774</v>
      </c>
      <c r="G8" s="169" t="s">
        <v>775</v>
      </c>
      <c r="I8" s="19" t="s">
        <v>776</v>
      </c>
      <c r="J8" s="19" t="s">
        <v>777</v>
      </c>
      <c r="K8" s="19" t="s">
        <v>778</v>
      </c>
    </row>
    <row r="9" ht="15.75" customHeight="1">
      <c r="B9" s="200"/>
      <c r="C9" s="272">
        <v>7032000.0</v>
      </c>
      <c r="D9" s="273">
        <v>32000.0</v>
      </c>
      <c r="E9" s="273">
        <f>K17</f>
        <v>0</v>
      </c>
      <c r="F9" s="19" t="b">
        <v>1</v>
      </c>
      <c r="G9" s="169" t="s">
        <v>779</v>
      </c>
      <c r="I9" s="274">
        <v>7000000.0</v>
      </c>
      <c r="J9" s="274">
        <v>7000000.0</v>
      </c>
    </row>
    <row r="10" ht="15.75" customHeight="1">
      <c r="B10" s="167" t="s">
        <v>780</v>
      </c>
      <c r="C10" s="19" t="s">
        <v>781</v>
      </c>
      <c r="D10" s="275" t="s">
        <v>782</v>
      </c>
      <c r="E10" s="19" t="s">
        <v>783</v>
      </c>
      <c r="F10" s="43" t="s">
        <v>563</v>
      </c>
      <c r="G10" s="169" t="s">
        <v>564</v>
      </c>
    </row>
    <row r="11" ht="15.75" customHeight="1">
      <c r="B11" s="276">
        <f>C9-D9+E9</f>
        <v>7000000</v>
      </c>
      <c r="C11" s="267">
        <v>3000000.0</v>
      </c>
      <c r="D11" s="267">
        <f>C11</f>
        <v>3000000</v>
      </c>
      <c r="E11" s="272">
        <f>B11-D11</f>
        <v>4000000</v>
      </c>
      <c r="G11" s="177"/>
    </row>
    <row r="12" ht="15.75" customHeight="1">
      <c r="B12" s="167" t="s">
        <v>784</v>
      </c>
      <c r="C12" s="43" t="s">
        <v>785</v>
      </c>
      <c r="D12" s="19" t="s">
        <v>786</v>
      </c>
      <c r="G12" s="177"/>
    </row>
    <row r="13" ht="15.75" customHeight="1">
      <c r="B13" s="167" t="s">
        <v>787</v>
      </c>
      <c r="C13" s="168" t="s">
        <v>788</v>
      </c>
      <c r="D13" s="19" t="s">
        <v>500</v>
      </c>
      <c r="G13" s="177"/>
    </row>
    <row r="14" ht="15.75" customHeight="1">
      <c r="B14" s="190"/>
      <c r="C14" s="212"/>
      <c r="D14" s="212"/>
      <c r="E14" s="212"/>
      <c r="F14" s="227" t="s">
        <v>235</v>
      </c>
      <c r="G14" s="227" t="s">
        <v>587</v>
      </c>
    </row>
    <row r="15" ht="15.75" customHeight="1">
      <c r="B15" s="277" t="s">
        <v>789</v>
      </c>
      <c r="C15" s="180"/>
      <c r="D15" s="180"/>
      <c r="E15" s="180"/>
      <c r="F15" s="180"/>
      <c r="G15" s="222"/>
      <c r="H15" s="222"/>
      <c r="I15" s="222"/>
      <c r="J15" s="222"/>
      <c r="K15" s="222"/>
      <c r="L15" s="222"/>
    </row>
    <row r="16" ht="15.75" customHeight="1">
      <c r="B16" s="181" t="s">
        <v>1</v>
      </c>
      <c r="C16" s="41" t="s">
        <v>790</v>
      </c>
      <c r="D16" s="181" t="s">
        <v>791</v>
      </c>
      <c r="E16" s="181" t="s">
        <v>543</v>
      </c>
      <c r="F16" s="181" t="s">
        <v>436</v>
      </c>
      <c r="G16" s="41" t="s">
        <v>792</v>
      </c>
      <c r="H16" s="181" t="s">
        <v>167</v>
      </c>
      <c r="I16" s="181" t="s">
        <v>168</v>
      </c>
      <c r="J16" s="181" t="s">
        <v>793</v>
      </c>
      <c r="K16" s="181" t="s">
        <v>773</v>
      </c>
      <c r="L16" s="181" t="s">
        <v>794</v>
      </c>
    </row>
    <row r="17" ht="15.75" customHeight="1">
      <c r="B17" s="182">
        <v>1.0</v>
      </c>
      <c r="C17" s="182" t="s">
        <v>795</v>
      </c>
      <c r="D17" s="182" t="s">
        <v>796</v>
      </c>
      <c r="E17" s="182" t="s">
        <v>551</v>
      </c>
      <c r="F17" s="182">
        <v>1.0</v>
      </c>
      <c r="G17" s="196"/>
      <c r="H17" s="182">
        <v>7032000.0</v>
      </c>
      <c r="I17" s="196">
        <f>F17*H17</f>
        <v>7032000</v>
      </c>
      <c r="J17" s="182">
        <v>0.0</v>
      </c>
      <c r="K17" s="196">
        <f>J17%*I17</f>
        <v>0</v>
      </c>
      <c r="L17" s="196">
        <f>I17+K17</f>
        <v>7032000</v>
      </c>
    </row>
    <row r="18" ht="15.75" customHeight="1">
      <c r="B18" s="182">
        <v>2.0</v>
      </c>
      <c r="C18" s="183"/>
      <c r="D18" s="183"/>
      <c r="E18" s="183"/>
      <c r="F18" s="183"/>
      <c r="G18" s="196"/>
      <c r="H18" s="183"/>
      <c r="I18" s="183"/>
      <c r="J18" s="183"/>
      <c r="K18" s="183"/>
      <c r="L18" s="183"/>
    </row>
    <row r="19" ht="15.75" customHeight="1">
      <c r="B19" s="182">
        <v>3.0</v>
      </c>
      <c r="C19" s="183"/>
      <c r="D19" s="183"/>
      <c r="E19" s="183"/>
      <c r="F19" s="183"/>
      <c r="G19" s="196"/>
      <c r="H19" s="183"/>
      <c r="I19" s="183"/>
      <c r="J19" s="183"/>
      <c r="K19" s="183"/>
      <c r="L19" s="183"/>
    </row>
    <row r="20" ht="15.75" customHeight="1">
      <c r="B20" s="182">
        <v>4.0</v>
      </c>
      <c r="C20" s="183"/>
      <c r="D20" s="183"/>
      <c r="E20" s="183"/>
      <c r="F20" s="183"/>
      <c r="G20" s="196"/>
      <c r="H20" s="183"/>
      <c r="I20" s="183"/>
      <c r="J20" s="183"/>
      <c r="K20" s="183"/>
      <c r="L20" s="183"/>
    </row>
    <row r="21" ht="15.75" customHeight="1">
      <c r="B21" s="182">
        <v>5.0</v>
      </c>
      <c r="C21" s="183"/>
      <c r="D21" s="183"/>
      <c r="E21" s="183"/>
      <c r="F21" s="183"/>
      <c r="G21" s="196"/>
      <c r="H21" s="183"/>
      <c r="I21" s="183"/>
      <c r="J21" s="183"/>
      <c r="K21" s="183"/>
      <c r="L21" s="183"/>
    </row>
    <row r="22" ht="15.75" customHeight="1">
      <c r="B22" s="182">
        <v>6.0</v>
      </c>
      <c r="C22" s="183"/>
      <c r="D22" s="183"/>
      <c r="E22" s="183"/>
      <c r="F22" s="183"/>
      <c r="G22" s="196"/>
      <c r="H22" s="183"/>
      <c r="I22" s="183"/>
      <c r="J22" s="183"/>
      <c r="K22" s="183"/>
      <c r="L22" s="183"/>
    </row>
    <row r="23" ht="15.75" customHeight="1">
      <c r="B23" s="183"/>
      <c r="C23" s="183"/>
      <c r="D23" s="183"/>
      <c r="E23" s="183"/>
      <c r="F23" s="183"/>
      <c r="G23" s="196"/>
      <c r="H23" s="183"/>
      <c r="I23" s="183"/>
      <c r="J23" s="183"/>
      <c r="K23" s="183"/>
      <c r="L23" s="183"/>
    </row>
    <row r="24" ht="15.75" customHeight="1"/>
    <row r="25">
      <c r="A25" s="40">
        <v>2.0</v>
      </c>
      <c r="B25" s="40" t="s">
        <v>797</v>
      </c>
    </row>
    <row r="26">
      <c r="B26" s="179" t="s">
        <v>798</v>
      </c>
      <c r="C26" s="180"/>
      <c r="D26" s="180"/>
      <c r="E26" s="180"/>
      <c r="F26" s="180"/>
      <c r="G26" s="180"/>
      <c r="H26" s="180"/>
      <c r="I26" s="180"/>
      <c r="J26" s="180"/>
      <c r="K26" s="180"/>
      <c r="L26" s="180"/>
    </row>
    <row r="27">
      <c r="A27" s="42"/>
      <c r="B27" s="181" t="s">
        <v>1</v>
      </c>
      <c r="C27" s="181"/>
      <c r="D27" s="181"/>
      <c r="E27" s="181"/>
      <c r="F27" s="181"/>
      <c r="G27" s="181"/>
      <c r="H27" s="181"/>
      <c r="I27" s="181"/>
      <c r="J27" s="181"/>
      <c r="K27" s="181"/>
      <c r="L27" s="181"/>
    </row>
    <row r="28">
      <c r="A28" s="42"/>
      <c r="B28" s="182"/>
      <c r="C28" s="182"/>
      <c r="D28" s="182"/>
      <c r="E28" s="182"/>
      <c r="F28" s="182"/>
      <c r="G28" s="182"/>
      <c r="H28" s="182"/>
      <c r="I28" s="182"/>
      <c r="J28" s="182"/>
      <c r="K28" s="182"/>
      <c r="L28" s="182"/>
    </row>
    <row r="29" ht="15.75" customHeight="1">
      <c r="B29" s="182"/>
      <c r="C29" s="182"/>
      <c r="D29" s="182"/>
      <c r="E29" s="182"/>
      <c r="F29" s="182"/>
      <c r="G29" s="182"/>
      <c r="H29" s="182"/>
      <c r="I29" s="182"/>
      <c r="J29" s="182"/>
      <c r="K29" s="182"/>
      <c r="L29" s="182"/>
    </row>
    <row r="30" ht="15.75" customHeight="1">
      <c r="B30" s="182"/>
      <c r="C30" s="182"/>
      <c r="D30" s="182"/>
      <c r="E30" s="182"/>
      <c r="F30" s="182"/>
      <c r="G30" s="182"/>
      <c r="H30" s="182"/>
      <c r="I30" s="182"/>
      <c r="J30" s="182"/>
      <c r="K30" s="182"/>
      <c r="L30" s="182"/>
    </row>
    <row r="31" ht="15.75" customHeight="1">
      <c r="B31" s="181"/>
      <c r="C31" s="183"/>
      <c r="D31" s="184"/>
      <c r="E31" s="184"/>
      <c r="F31" s="184"/>
      <c r="G31" s="184"/>
      <c r="H31" s="184"/>
      <c r="I31" s="184"/>
      <c r="J31" s="184"/>
      <c r="K31" s="184"/>
      <c r="L31" s="184"/>
    </row>
    <row r="32" ht="15.75" customHeight="1"/>
    <row r="33" ht="15.75" customHeight="1"/>
    <row r="34" ht="15.75" customHeight="1">
      <c r="A34" s="40">
        <v>3.0</v>
      </c>
      <c r="B34" s="39" t="s">
        <v>129</v>
      </c>
    </row>
    <row r="35" ht="15.75" customHeight="1"/>
    <row r="36" ht="15.75" customHeight="1">
      <c r="B36" s="46" t="s">
        <v>1</v>
      </c>
      <c r="C36" s="47" t="s">
        <v>130</v>
      </c>
      <c r="D36" s="47" t="s">
        <v>131</v>
      </c>
      <c r="E36" s="47" t="s">
        <v>7</v>
      </c>
    </row>
    <row r="37" ht="15.75" customHeight="1">
      <c r="B37" s="48">
        <v>1.0</v>
      </c>
      <c r="C37" s="48" t="s">
        <v>132</v>
      </c>
      <c r="D37" s="51"/>
      <c r="E37" s="48"/>
    </row>
    <row r="38" ht="15.75" customHeight="1">
      <c r="B38" s="48">
        <v>2.0</v>
      </c>
      <c r="C38" s="52" t="s">
        <v>310</v>
      </c>
      <c r="D38" s="51"/>
      <c r="E38" s="48"/>
    </row>
    <row r="39" ht="15.75" customHeight="1">
      <c r="B39" s="48">
        <v>3.0</v>
      </c>
      <c r="C39" s="48" t="s">
        <v>263</v>
      </c>
      <c r="D39" s="51"/>
      <c r="E39" s="48"/>
    </row>
    <row r="40" ht="15.75" customHeight="1">
      <c r="B40" s="48">
        <v>4.0</v>
      </c>
      <c r="C40" s="52" t="s">
        <v>557</v>
      </c>
      <c r="D40" s="51"/>
      <c r="E40" s="105"/>
    </row>
    <row r="41" ht="15.75" customHeight="1">
      <c r="B41" s="48">
        <v>5.0</v>
      </c>
      <c r="C41" s="48" t="s">
        <v>265</v>
      </c>
      <c r="D41" s="51"/>
      <c r="E41" s="48"/>
    </row>
    <row r="42" ht="15.75" customHeight="1">
      <c r="B42" s="48">
        <v>6.0</v>
      </c>
      <c r="C42" s="48" t="s">
        <v>267</v>
      </c>
      <c r="D42" s="51"/>
      <c r="E42" s="48"/>
    </row>
    <row r="43" ht="15.75" customHeight="1">
      <c r="B43" s="48">
        <v>7.0</v>
      </c>
      <c r="C43" s="48" t="s">
        <v>235</v>
      </c>
      <c r="D43" s="51"/>
      <c r="E43" s="48"/>
    </row>
    <row r="44" ht="15.75" customHeight="1">
      <c r="B44" s="48">
        <v>8.0</v>
      </c>
      <c r="C44" s="48" t="s">
        <v>270</v>
      </c>
      <c r="D44" s="51"/>
      <c r="E44" s="48"/>
    </row>
    <row r="45" ht="15.75" customHeight="1">
      <c r="B45" s="48">
        <v>9.0</v>
      </c>
      <c r="C45" s="52" t="s">
        <v>237</v>
      </c>
      <c r="D45" s="51"/>
      <c r="E45" s="48"/>
    </row>
    <row r="46" ht="15.75" customHeight="1">
      <c r="B46" s="48">
        <v>10.0</v>
      </c>
      <c r="C46" s="52" t="s">
        <v>327</v>
      </c>
      <c r="D46" s="51"/>
      <c r="E46" s="109"/>
    </row>
    <row r="47" ht="15.75" customHeight="1">
      <c r="B47" s="48">
        <v>11.0</v>
      </c>
      <c r="C47" s="48" t="s">
        <v>258</v>
      </c>
      <c r="D47" s="51"/>
      <c r="E47" s="48"/>
    </row>
    <row r="48" ht="15.75" customHeight="1">
      <c r="B48" s="48">
        <v>12.0</v>
      </c>
      <c r="D48" s="51"/>
      <c r="E48" s="48"/>
    </row>
    <row r="49" ht="15.75" customHeight="1">
      <c r="B49" s="48">
        <v>13.0</v>
      </c>
      <c r="D49" s="51"/>
      <c r="E49" s="48"/>
    </row>
    <row r="50" ht="15.75" customHeight="1">
      <c r="B50" s="48"/>
      <c r="C50" s="52"/>
      <c r="D50" s="51"/>
      <c r="E50" s="48"/>
    </row>
    <row r="51" ht="15.75" customHeight="1">
      <c r="B51" s="52"/>
      <c r="C51" s="52"/>
      <c r="D51" s="51"/>
      <c r="E51" s="48"/>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2">
    <mergeCell ref="C6:E6"/>
    <mergeCell ref="C7:E7"/>
  </mergeCells>
  <dataValidations>
    <dataValidation type="list" allowBlank="1" showErrorMessage="1" sqref="B5 B9">
      <formula1>"Option 1,Option 2"</formula1>
    </dataValidation>
    <dataValidation type="list" allowBlank="1" showErrorMessage="1" sqref="C17">
      <formula1>"HH0001"</formula1>
    </dataValidation>
    <dataValidation type="list" allowBlank="1" showErrorMessage="1" sqref="G5">
      <formula1>"Chưa thực hiện,Đang thực hiện,Hoàn tất,Hủy"</formula1>
    </dataValidation>
    <dataValidation type="list" allowBlank="1" showErrorMessage="1" sqref="C13">
      <formula1>"Kinh doanh,Khu vực quản lý"</formula1>
    </dataValidation>
    <dataValidation type="list" allowBlank="1" showErrorMessage="1" sqref="G9">
      <formula1>"Chưa xuất HĐ,Đã xuất HĐ"</formula1>
    </dataValidation>
    <dataValidation type="list" allowBlank="1" showErrorMessage="1" sqref="B13">
      <formula1>"Quầy kinh doanh 1,Quầy kinh doanh 2"</formula1>
    </dataValidation>
    <dataValidation type="list" allowBlank="1" showErrorMessage="1" sqref="D13">
      <formula1>"Tiền mặt,Chuyển khoản"</formula1>
    </dataValidation>
  </dataValidations>
  <printOptions/>
  <pageMargins bottom="0.75" footer="0.0" header="0.0" left="0.7" right="0.7" top="0.75"/>
  <pageSetup orientation="landscape"/>
  <drawing r:id="rId2"/>
  <legacyDrawing r:id="rId3"/>
  <tableParts count="1">
    <tablePart r:id="rId5"/>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4.86"/>
    <col customWidth="1" min="3" max="3" width="29.29"/>
    <col customWidth="1" min="4" max="4" width="33.29"/>
    <col customWidth="1" min="5" max="5" width="24.71"/>
    <col customWidth="1" min="6" max="6" width="22.57"/>
    <col customWidth="1" min="7" max="7" width="22.71"/>
    <col customWidth="1" min="8" max="8" width="24.43"/>
    <col customWidth="1" min="9" max="9" width="18.57"/>
    <col customWidth="1" min="10" max="10" width="21.57"/>
    <col customWidth="1" min="11" max="11" width="19.14"/>
    <col customWidth="1" min="12" max="12" width="16.43"/>
  </cols>
  <sheetData>
    <row r="2" ht="15.75" customHeight="1">
      <c r="A2" s="41">
        <v>1.0</v>
      </c>
      <c r="B2" s="40" t="s">
        <v>799</v>
      </c>
    </row>
    <row r="3" ht="15.75" customHeight="1">
      <c r="B3" s="209" t="s">
        <v>800</v>
      </c>
      <c r="C3" s="210"/>
      <c r="D3" s="210"/>
      <c r="E3" s="210"/>
      <c r="F3" s="210"/>
    </row>
    <row r="4" ht="15.75" customHeight="1">
      <c r="B4" s="164" t="s">
        <v>762</v>
      </c>
      <c r="C4" s="165" t="s">
        <v>401</v>
      </c>
      <c r="D4" s="266" t="s">
        <v>801</v>
      </c>
      <c r="E4" s="165" t="s">
        <v>802</v>
      </c>
      <c r="F4" s="278" t="s">
        <v>148</v>
      </c>
    </row>
    <row r="5" ht="15.75" customHeight="1">
      <c r="B5" s="279" t="s">
        <v>769</v>
      </c>
      <c r="C5" s="268">
        <v>45962.0</v>
      </c>
      <c r="D5" s="19" t="s">
        <v>803</v>
      </c>
      <c r="E5" s="19" t="b">
        <v>1</v>
      </c>
      <c r="F5" s="169" t="s">
        <v>804</v>
      </c>
    </row>
    <row r="6" ht="15.75" customHeight="1">
      <c r="B6" s="167" t="s">
        <v>805</v>
      </c>
      <c r="C6" s="43" t="s">
        <v>806</v>
      </c>
      <c r="D6" s="43" t="s">
        <v>807</v>
      </c>
      <c r="E6" s="43" t="s">
        <v>808</v>
      </c>
      <c r="F6" s="169" t="s">
        <v>761</v>
      </c>
    </row>
    <row r="7" ht="15.75" customHeight="1">
      <c r="B7" s="167" t="s">
        <v>776</v>
      </c>
      <c r="C7" s="206" t="s">
        <v>764</v>
      </c>
      <c r="D7" s="268">
        <v>45962.0</v>
      </c>
      <c r="E7" s="16"/>
      <c r="F7" s="202"/>
    </row>
    <row r="8" ht="15.75" customHeight="1">
      <c r="B8" s="270" t="s">
        <v>809</v>
      </c>
      <c r="C8" s="43" t="s">
        <v>810</v>
      </c>
      <c r="F8" s="204"/>
    </row>
    <row r="9" ht="15.75" customHeight="1">
      <c r="B9" s="274">
        <v>3000000.0</v>
      </c>
      <c r="C9" s="19" t="s">
        <v>803</v>
      </c>
      <c r="F9" s="204"/>
    </row>
    <row r="10" ht="15.75" customHeight="1">
      <c r="B10" s="270" t="s">
        <v>811</v>
      </c>
      <c r="C10" s="43" t="s">
        <v>785</v>
      </c>
      <c r="D10" s="43" t="s">
        <v>786</v>
      </c>
      <c r="E10" s="43" t="s">
        <v>812</v>
      </c>
      <c r="F10" s="177"/>
      <c r="H10" s="41" t="s">
        <v>813</v>
      </c>
    </row>
    <row r="11" ht="15.75" customHeight="1">
      <c r="B11" s="167"/>
      <c r="C11" s="168"/>
      <c r="D11" s="19" t="s">
        <v>814</v>
      </c>
      <c r="E11" s="19" t="s">
        <v>815</v>
      </c>
      <c r="F11" s="177"/>
      <c r="H11" s="19" t="s">
        <v>816</v>
      </c>
      <c r="I11" s="280" t="s">
        <v>817</v>
      </c>
      <c r="J11" s="281"/>
    </row>
    <row r="12" ht="15.75" customHeight="1">
      <c r="B12" s="270"/>
      <c r="C12" s="43"/>
      <c r="F12" s="177"/>
      <c r="H12" s="19" t="s">
        <v>818</v>
      </c>
      <c r="I12" s="280" t="s">
        <v>819</v>
      </c>
      <c r="J12" s="281"/>
    </row>
    <row r="13" ht="15.75" customHeight="1">
      <c r="B13" s="225"/>
      <c r="C13" s="226"/>
      <c r="D13" s="226"/>
      <c r="E13" s="226"/>
      <c r="F13" s="178"/>
      <c r="H13" s="19" t="s">
        <v>820</v>
      </c>
      <c r="I13" s="19" t="b">
        <v>1</v>
      </c>
    </row>
    <row r="14" ht="15.75" customHeight="1">
      <c r="B14" s="200"/>
      <c r="F14" s="177"/>
      <c r="H14" s="19" t="s">
        <v>821</v>
      </c>
      <c r="I14" s="282">
        <v>45965.0</v>
      </c>
    </row>
    <row r="15" ht="15.75" customHeight="1">
      <c r="B15" s="277" t="s">
        <v>822</v>
      </c>
      <c r="C15" s="180"/>
      <c r="D15" s="180"/>
      <c r="E15" s="180"/>
      <c r="F15" s="177"/>
    </row>
    <row r="16" ht="15.75" customHeight="1">
      <c r="B16" s="181" t="s">
        <v>1</v>
      </c>
      <c r="C16" s="181" t="s">
        <v>3</v>
      </c>
      <c r="D16" s="181" t="s">
        <v>809</v>
      </c>
      <c r="E16" s="181" t="s">
        <v>7</v>
      </c>
      <c r="F16" s="177"/>
    </row>
    <row r="17" ht="15.75" customHeight="1">
      <c r="B17" s="182">
        <v>1.0</v>
      </c>
      <c r="C17" s="182" t="s">
        <v>803</v>
      </c>
      <c r="D17" s="283">
        <v>3000000.0</v>
      </c>
      <c r="E17" s="183"/>
      <c r="F17" s="177"/>
    </row>
    <row r="18" ht="15.75" customHeight="1">
      <c r="B18" s="182">
        <v>2.0</v>
      </c>
      <c r="C18" s="183"/>
      <c r="D18" s="183"/>
      <c r="E18" s="183"/>
      <c r="F18" s="177"/>
    </row>
    <row r="19" ht="15.75" customHeight="1">
      <c r="B19" s="183"/>
      <c r="C19" s="183"/>
      <c r="D19" s="183"/>
      <c r="E19" s="183"/>
      <c r="F19" s="177"/>
    </row>
    <row r="20" ht="15.75" customHeight="1">
      <c r="B20" s="183"/>
      <c r="C20" s="183"/>
      <c r="D20" s="183"/>
      <c r="E20" s="183"/>
      <c r="F20" s="177"/>
    </row>
    <row r="21" ht="15.75" customHeight="1">
      <c r="B21" s="183"/>
      <c r="C21" s="183"/>
      <c r="D21" s="183"/>
      <c r="E21" s="183"/>
      <c r="F21" s="177"/>
    </row>
    <row r="22" ht="15.75" customHeight="1">
      <c r="B22" s="183"/>
      <c r="C22" s="183"/>
      <c r="D22" s="183"/>
      <c r="E22" s="183"/>
      <c r="F22" s="177"/>
    </row>
    <row r="23" ht="15.75" customHeight="1">
      <c r="B23" s="183"/>
      <c r="C23" s="183"/>
      <c r="D23" s="183"/>
      <c r="E23" s="183"/>
      <c r="F23" s="177"/>
    </row>
    <row r="24" ht="15.75" customHeight="1">
      <c r="B24" s="225"/>
      <c r="C24" s="226"/>
      <c r="D24" s="218" t="s">
        <v>235</v>
      </c>
      <c r="E24" s="218" t="s">
        <v>587</v>
      </c>
      <c r="F24" s="227" t="s">
        <v>237</v>
      </c>
    </row>
    <row r="25">
      <c r="A25" s="40">
        <v>2.0</v>
      </c>
      <c r="B25" s="40" t="s">
        <v>823</v>
      </c>
    </row>
    <row r="26">
      <c r="B26" s="179" t="s">
        <v>539</v>
      </c>
      <c r="C26" s="180"/>
      <c r="D26" s="180"/>
      <c r="E26" s="180"/>
      <c r="F26" s="180"/>
      <c r="G26" s="180"/>
      <c r="H26" s="180"/>
      <c r="I26" s="180"/>
      <c r="J26" s="180"/>
      <c r="K26" s="180"/>
      <c r="L26" s="180"/>
    </row>
    <row r="27">
      <c r="A27" s="42"/>
      <c r="B27" s="181" t="s">
        <v>1</v>
      </c>
      <c r="C27" s="181"/>
      <c r="D27" s="181"/>
      <c r="E27" s="181"/>
      <c r="F27" s="181"/>
      <c r="G27" s="181"/>
      <c r="H27" s="181"/>
      <c r="I27" s="181"/>
      <c r="J27" s="181"/>
      <c r="K27" s="181"/>
      <c r="L27" s="181"/>
    </row>
    <row r="28">
      <c r="A28" s="42"/>
      <c r="B28" s="182"/>
      <c r="C28" s="182"/>
      <c r="D28" s="182"/>
      <c r="E28" s="182"/>
      <c r="F28" s="182"/>
      <c r="G28" s="182"/>
      <c r="H28" s="182"/>
      <c r="I28" s="182"/>
      <c r="J28" s="182"/>
      <c r="K28" s="182"/>
      <c r="L28" s="182"/>
    </row>
    <row r="29" ht="15.75" customHeight="1">
      <c r="B29" s="182"/>
      <c r="C29" s="182"/>
      <c r="D29" s="182"/>
      <c r="E29" s="182"/>
      <c r="F29" s="182"/>
      <c r="G29" s="182"/>
      <c r="H29" s="182"/>
      <c r="I29" s="182"/>
      <c r="J29" s="182"/>
      <c r="K29" s="182"/>
      <c r="L29" s="182"/>
    </row>
    <row r="30" ht="15.75" customHeight="1">
      <c r="B30" s="182"/>
      <c r="C30" s="182"/>
      <c r="D30" s="182"/>
      <c r="E30" s="182"/>
      <c r="F30" s="182"/>
      <c r="G30" s="182"/>
      <c r="H30" s="182"/>
      <c r="I30" s="182"/>
      <c r="J30" s="182"/>
      <c r="K30" s="182"/>
      <c r="L30" s="182"/>
    </row>
    <row r="31" ht="15.75" customHeight="1">
      <c r="B31" s="181"/>
      <c r="C31" s="183"/>
      <c r="D31" s="184"/>
      <c r="E31" s="184"/>
      <c r="F31" s="184"/>
      <c r="G31" s="184"/>
      <c r="H31" s="184"/>
      <c r="I31" s="184"/>
      <c r="J31" s="184"/>
      <c r="K31" s="184"/>
      <c r="L31" s="184"/>
    </row>
    <row r="32" ht="15.75" customHeight="1"/>
    <row r="33" ht="15.75" customHeight="1"/>
    <row r="34" ht="15.75" customHeight="1">
      <c r="A34" s="40">
        <v>3.0</v>
      </c>
      <c r="B34" s="39" t="s">
        <v>129</v>
      </c>
    </row>
    <row r="35" ht="15.75" customHeight="1"/>
    <row r="36" ht="15.75" customHeight="1">
      <c r="B36" s="46" t="s">
        <v>1</v>
      </c>
      <c r="C36" s="47" t="s">
        <v>130</v>
      </c>
      <c r="D36" s="47" t="s">
        <v>131</v>
      </c>
      <c r="E36" s="47" t="s">
        <v>7</v>
      </c>
    </row>
    <row r="37" ht="15.75" customHeight="1">
      <c r="B37" s="48">
        <v>1.0</v>
      </c>
      <c r="C37" s="48" t="s">
        <v>132</v>
      </c>
      <c r="D37" s="51"/>
      <c r="E37" s="48"/>
    </row>
    <row r="38" ht="15.75" customHeight="1">
      <c r="B38" s="48">
        <v>2.0</v>
      </c>
      <c r="C38" s="52" t="s">
        <v>310</v>
      </c>
      <c r="D38" s="51"/>
      <c r="E38" s="48"/>
    </row>
    <row r="39" ht="15.75" customHeight="1">
      <c r="B39" s="48">
        <v>3.0</v>
      </c>
      <c r="C39" s="48" t="s">
        <v>263</v>
      </c>
      <c r="D39" s="51"/>
      <c r="E39" s="48"/>
    </row>
    <row r="40" ht="15.75" customHeight="1">
      <c r="B40" s="48">
        <v>4.0</v>
      </c>
      <c r="C40" s="52" t="s">
        <v>557</v>
      </c>
      <c r="D40" s="51"/>
      <c r="E40" s="105"/>
    </row>
    <row r="41" ht="15.75" customHeight="1">
      <c r="B41" s="48">
        <v>5.0</v>
      </c>
      <c r="C41" s="48" t="s">
        <v>265</v>
      </c>
      <c r="D41" s="51"/>
      <c r="E41" s="48"/>
    </row>
    <row r="42" ht="15.75" customHeight="1">
      <c r="B42" s="48">
        <v>6.0</v>
      </c>
      <c r="C42" s="48" t="s">
        <v>267</v>
      </c>
      <c r="D42" s="51"/>
      <c r="E42" s="48"/>
    </row>
    <row r="43" ht="15.75" customHeight="1">
      <c r="B43" s="48">
        <v>7.0</v>
      </c>
      <c r="C43" s="48" t="s">
        <v>235</v>
      </c>
      <c r="D43" s="51"/>
      <c r="E43" s="48"/>
    </row>
    <row r="44" ht="15.75" customHeight="1">
      <c r="B44" s="48">
        <v>8.0</v>
      </c>
      <c r="C44" s="48" t="s">
        <v>270</v>
      </c>
      <c r="D44" s="51"/>
      <c r="E44" s="48"/>
    </row>
    <row r="45" ht="15.75" customHeight="1">
      <c r="B45" s="48">
        <v>9.0</v>
      </c>
      <c r="C45" s="52" t="s">
        <v>237</v>
      </c>
      <c r="D45" s="51"/>
      <c r="E45" s="48"/>
    </row>
    <row r="46" ht="15.75" customHeight="1">
      <c r="B46" s="48">
        <v>10.0</v>
      </c>
      <c r="C46" s="52" t="s">
        <v>327</v>
      </c>
      <c r="D46" s="51"/>
      <c r="E46" s="109"/>
    </row>
    <row r="47" ht="15.75" customHeight="1">
      <c r="B47" s="48">
        <v>11.0</v>
      </c>
      <c r="C47" s="48" t="s">
        <v>258</v>
      </c>
      <c r="D47" s="51"/>
      <c r="E47" s="48"/>
    </row>
    <row r="48" ht="15.75" customHeight="1">
      <c r="B48" s="48">
        <v>12.0</v>
      </c>
      <c r="D48" s="51"/>
      <c r="E48" s="48"/>
    </row>
    <row r="49" ht="15.75" customHeight="1">
      <c r="B49" s="48">
        <v>13.0</v>
      </c>
      <c r="D49" s="51"/>
      <c r="E49" s="48"/>
    </row>
    <row r="50" ht="15.75" customHeight="1">
      <c r="B50" s="48"/>
      <c r="C50" s="52"/>
      <c r="D50" s="51"/>
      <c r="E50" s="48"/>
    </row>
    <row r="51" ht="15.75" customHeight="1">
      <c r="B51" s="52"/>
      <c r="C51" s="52"/>
      <c r="D51" s="51"/>
      <c r="E51" s="48"/>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2">
    <mergeCell ref="C8:F8"/>
    <mergeCell ref="C9:F9"/>
  </mergeCells>
  <dataValidations>
    <dataValidation type="list" allowBlank="1" showErrorMessage="1" sqref="E7 B11:C11">
      <formula1>"Option 1,Option 2"</formula1>
    </dataValidation>
    <dataValidation type="list" allowBlank="1" showErrorMessage="1" sqref="C7">
      <formula1>"PMHH251101001"</formula1>
    </dataValidation>
    <dataValidation type="list" allowBlank="1" showErrorMessage="1" sqref="B7">
      <formula1>"Phiếu mua hàng,Phiếu giao nhận,Phiếu sửa chữa,Phiếu tạm ứng,Phiếu chi khách,Trả NCC"</formula1>
    </dataValidation>
    <dataValidation type="list" allowBlank="1" showErrorMessage="1" sqref="D5">
      <formula1>"Chi tiền đặt cọc mua hàng,Chi tiền mua hàng,Chi tiền sửa chữa,..."</formula1>
    </dataValidation>
    <dataValidation type="list" allowBlank="1" showErrorMessage="1" sqref="F5">
      <formula1>"Lưu tạm,Hoàn tất,Hủy"</formula1>
    </dataValidation>
    <dataValidation type="list" allowBlank="1" showErrorMessage="1" sqref="E11">
      <formula1>"Tài khoản thanh toán 1,Tài khoản thanh toán 2"</formula1>
    </dataValidation>
    <dataValidation type="list" allowBlank="1" showErrorMessage="1" sqref="D11">
      <formula1>"Tiền mặt,Chuyển khoản"</formula1>
    </dataValidation>
  </dataValidations>
  <printOptions/>
  <pageMargins bottom="0.75" footer="0.0" header="0.0" left="0.7" right="0.7" top="0.75"/>
  <pageSetup orientation="landscape"/>
  <drawing r:id="rId2"/>
  <legacyDrawing r:id="rId3"/>
  <tableParts count="1">
    <tablePart r:id="rId5"/>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4.86"/>
    <col customWidth="1" min="3" max="3" width="25.43"/>
    <col customWidth="1" min="4" max="4" width="27.57"/>
    <col customWidth="1" min="5" max="6" width="29.57"/>
    <col customWidth="1" min="7" max="7" width="32.57"/>
    <col customWidth="1" min="8" max="8" width="21.86"/>
    <col customWidth="1" min="9" max="9" width="18.57"/>
    <col customWidth="1" min="10" max="10" width="21.57"/>
    <col customWidth="1" min="11" max="11" width="19.14"/>
    <col customWidth="1" min="12" max="12" width="16.43"/>
  </cols>
  <sheetData>
    <row r="2" ht="15.75" customHeight="1">
      <c r="A2" s="41">
        <v>1.0</v>
      </c>
      <c r="B2" s="40" t="s">
        <v>824</v>
      </c>
    </row>
    <row r="3" ht="15.75" customHeight="1">
      <c r="B3" s="209" t="s">
        <v>825</v>
      </c>
      <c r="C3" s="210"/>
      <c r="D3" s="210"/>
      <c r="E3" s="210"/>
      <c r="F3" s="210"/>
      <c r="G3" s="211"/>
      <c r="H3" s="211"/>
    </row>
    <row r="4" ht="15.75" customHeight="1">
      <c r="B4" s="164" t="s">
        <v>762</v>
      </c>
      <c r="C4" s="165" t="s">
        <v>401</v>
      </c>
      <c r="D4" s="266" t="s">
        <v>811</v>
      </c>
      <c r="E4" s="266" t="s">
        <v>785</v>
      </c>
      <c r="F4" s="266" t="s">
        <v>588</v>
      </c>
      <c r="G4" s="266" t="s">
        <v>801</v>
      </c>
      <c r="H4" s="278" t="s">
        <v>148</v>
      </c>
    </row>
    <row r="5" ht="15.75" customHeight="1">
      <c r="B5" s="167" t="s">
        <v>769</v>
      </c>
      <c r="C5" s="19" t="s">
        <v>547</v>
      </c>
      <c r="D5" s="19"/>
      <c r="E5" s="168"/>
      <c r="F5" s="41"/>
      <c r="G5" s="19" t="s">
        <v>803</v>
      </c>
      <c r="H5" s="169" t="s">
        <v>804</v>
      </c>
    </row>
    <row r="6" ht="15.75" customHeight="1">
      <c r="B6" s="270" t="s">
        <v>809</v>
      </c>
      <c r="C6" s="43" t="s">
        <v>131</v>
      </c>
      <c r="D6" s="43" t="s">
        <v>808</v>
      </c>
      <c r="E6" s="19" t="s">
        <v>806</v>
      </c>
      <c r="F6" s="43" t="s">
        <v>807</v>
      </c>
      <c r="G6" s="19"/>
      <c r="H6" s="169"/>
      <c r="I6" s="19"/>
    </row>
    <row r="7" ht="15.75" customHeight="1">
      <c r="B7" s="284"/>
      <c r="C7" s="19"/>
      <c r="H7" s="177"/>
    </row>
    <row r="8" ht="15.75" customHeight="1">
      <c r="B8" s="270" t="s">
        <v>786</v>
      </c>
      <c r="C8" s="43" t="s">
        <v>812</v>
      </c>
      <c r="D8" s="43" t="s">
        <v>826</v>
      </c>
      <c r="E8" s="43" t="s">
        <v>827</v>
      </c>
      <c r="F8" s="43" t="s">
        <v>828</v>
      </c>
      <c r="H8" s="177"/>
    </row>
    <row r="9" ht="15.75" customHeight="1">
      <c r="B9" s="167"/>
      <c r="C9" s="16"/>
      <c r="D9" s="19" t="b">
        <v>1</v>
      </c>
      <c r="E9" s="16"/>
      <c r="F9" s="16"/>
      <c r="H9" s="177"/>
    </row>
    <row r="10" ht="15.75" customHeight="1">
      <c r="B10" s="270"/>
      <c r="C10" s="43"/>
      <c r="H10" s="177"/>
    </row>
    <row r="11" ht="15.75" customHeight="1">
      <c r="B11" s="225"/>
      <c r="C11" s="226"/>
      <c r="D11" s="226"/>
      <c r="E11" s="226"/>
      <c r="F11" s="226"/>
      <c r="G11" s="227" t="s">
        <v>235</v>
      </c>
      <c r="H11" s="227" t="s">
        <v>237</v>
      </c>
    </row>
    <row r="12" ht="15.75" customHeight="1">
      <c r="B12" s="200"/>
      <c r="G12" s="177"/>
    </row>
    <row r="13" ht="15.75" customHeight="1">
      <c r="B13" s="277" t="s">
        <v>829</v>
      </c>
      <c r="C13" s="180"/>
      <c r="D13" s="180"/>
      <c r="E13" s="180"/>
      <c r="F13" s="180"/>
      <c r="G13" s="222"/>
    </row>
    <row r="14" ht="15.75" customHeight="1">
      <c r="B14" s="181" t="s">
        <v>1</v>
      </c>
      <c r="C14" s="181" t="s">
        <v>131</v>
      </c>
      <c r="D14" s="181" t="s">
        <v>543</v>
      </c>
      <c r="E14" s="181" t="s">
        <v>612</v>
      </c>
      <c r="F14" s="181" t="s">
        <v>167</v>
      </c>
      <c r="G14" s="181" t="s">
        <v>168</v>
      </c>
    </row>
    <row r="15" ht="15.75" customHeight="1">
      <c r="B15" s="183"/>
      <c r="C15" s="183"/>
      <c r="D15" s="183"/>
      <c r="E15" s="183"/>
      <c r="F15" s="183"/>
      <c r="G15" s="183"/>
    </row>
    <row r="16" ht="15.75" customHeight="1">
      <c r="B16" s="183"/>
      <c r="C16" s="183"/>
      <c r="D16" s="183"/>
      <c r="E16" s="183"/>
      <c r="F16" s="183"/>
      <c r="G16" s="183"/>
    </row>
    <row r="17" ht="15.75" customHeight="1">
      <c r="B17" s="183"/>
      <c r="C17" s="183"/>
      <c r="D17" s="183"/>
      <c r="E17" s="183"/>
      <c r="F17" s="183"/>
      <c r="G17" s="183"/>
    </row>
    <row r="18" ht="15.75" customHeight="1">
      <c r="B18" s="183"/>
      <c r="C18" s="183"/>
      <c r="D18" s="183"/>
      <c r="E18" s="183"/>
      <c r="F18" s="183"/>
      <c r="G18" s="183"/>
    </row>
    <row r="19" ht="15.75" customHeight="1">
      <c r="B19" s="183"/>
      <c r="C19" s="183"/>
      <c r="D19" s="183"/>
      <c r="E19" s="183"/>
      <c r="F19" s="183"/>
      <c r="G19" s="183"/>
    </row>
    <row r="20" ht="15.75" customHeight="1">
      <c r="B20" s="183"/>
      <c r="C20" s="183"/>
      <c r="D20" s="183"/>
      <c r="E20" s="183"/>
      <c r="F20" s="183"/>
      <c r="G20" s="183"/>
    </row>
    <row r="21" ht="15.75" customHeight="1">
      <c r="B21" s="183"/>
      <c r="C21" s="183"/>
      <c r="D21" s="183"/>
      <c r="E21" s="183"/>
      <c r="F21" s="183"/>
      <c r="G21" s="183"/>
    </row>
    <row r="22" ht="15.75" customHeight="1"/>
    <row r="23">
      <c r="A23" s="40">
        <v>2.0</v>
      </c>
      <c r="B23" s="40" t="s">
        <v>823</v>
      </c>
    </row>
    <row r="24">
      <c r="B24" s="179" t="s">
        <v>539</v>
      </c>
      <c r="C24" s="180"/>
      <c r="D24" s="180"/>
      <c r="E24" s="180"/>
      <c r="F24" s="180"/>
      <c r="G24" s="180"/>
      <c r="H24" s="180"/>
      <c r="I24" s="180"/>
      <c r="J24" s="180"/>
      <c r="K24" s="180"/>
      <c r="L24" s="180"/>
    </row>
    <row r="25">
      <c r="A25" s="42"/>
      <c r="B25" s="181" t="s">
        <v>1</v>
      </c>
      <c r="C25" s="181"/>
      <c r="D25" s="181"/>
      <c r="E25" s="181"/>
      <c r="F25" s="181"/>
      <c r="G25" s="181"/>
      <c r="H25" s="181"/>
      <c r="I25" s="181"/>
      <c r="J25" s="181"/>
      <c r="K25" s="181"/>
      <c r="L25" s="181"/>
    </row>
    <row r="26">
      <c r="A26" s="42"/>
      <c r="B26" s="182"/>
      <c r="C26" s="182"/>
      <c r="D26" s="182"/>
      <c r="E26" s="182"/>
      <c r="F26" s="182"/>
      <c r="G26" s="182"/>
      <c r="H26" s="182"/>
      <c r="I26" s="182"/>
      <c r="J26" s="182"/>
      <c r="K26" s="182"/>
      <c r="L26" s="182"/>
    </row>
    <row r="27" ht="15.75" customHeight="1">
      <c r="B27" s="182"/>
      <c r="C27" s="182"/>
      <c r="D27" s="182"/>
      <c r="E27" s="182"/>
      <c r="F27" s="182"/>
      <c r="G27" s="182"/>
      <c r="H27" s="182"/>
      <c r="I27" s="182"/>
      <c r="J27" s="182"/>
      <c r="K27" s="182"/>
      <c r="L27" s="182"/>
    </row>
    <row r="28" ht="15.75" customHeight="1">
      <c r="B28" s="182"/>
      <c r="C28" s="182"/>
      <c r="D28" s="182"/>
      <c r="E28" s="182"/>
      <c r="F28" s="182"/>
      <c r="G28" s="182"/>
      <c r="H28" s="182"/>
      <c r="I28" s="182"/>
      <c r="J28" s="182"/>
      <c r="K28" s="182"/>
      <c r="L28" s="182"/>
    </row>
    <row r="29" ht="15.75" customHeight="1">
      <c r="B29" s="181"/>
      <c r="C29" s="183"/>
      <c r="D29" s="184"/>
      <c r="E29" s="184"/>
      <c r="F29" s="184"/>
      <c r="G29" s="184"/>
      <c r="H29" s="184"/>
      <c r="I29" s="184"/>
      <c r="J29" s="184"/>
      <c r="K29" s="184"/>
      <c r="L29" s="184"/>
    </row>
    <row r="30" ht="15.75" customHeight="1"/>
    <row r="31" ht="15.75" customHeight="1"/>
    <row r="32" ht="15.75" customHeight="1">
      <c r="A32" s="40">
        <v>3.0</v>
      </c>
      <c r="B32" s="39" t="s">
        <v>129</v>
      </c>
    </row>
    <row r="33" ht="15.75" customHeight="1"/>
    <row r="34" ht="15.75" customHeight="1">
      <c r="B34" s="46" t="s">
        <v>1</v>
      </c>
      <c r="C34" s="47" t="s">
        <v>130</v>
      </c>
      <c r="D34" s="47" t="s">
        <v>131</v>
      </c>
      <c r="E34" s="47" t="s">
        <v>7</v>
      </c>
    </row>
    <row r="35" ht="15.75" customHeight="1">
      <c r="B35" s="48">
        <v>1.0</v>
      </c>
      <c r="C35" s="48" t="s">
        <v>132</v>
      </c>
      <c r="D35" s="51"/>
      <c r="E35" s="48"/>
    </row>
    <row r="36" ht="15.75" customHeight="1">
      <c r="B36" s="48">
        <v>2.0</v>
      </c>
      <c r="C36" s="52" t="s">
        <v>310</v>
      </c>
      <c r="D36" s="51"/>
      <c r="E36" s="48"/>
    </row>
    <row r="37" ht="15.75" customHeight="1">
      <c r="B37" s="48">
        <v>3.0</v>
      </c>
      <c r="C37" s="48" t="s">
        <v>263</v>
      </c>
      <c r="D37" s="51"/>
      <c r="E37" s="48"/>
    </row>
    <row r="38" ht="15.75" customHeight="1">
      <c r="B38" s="48">
        <v>4.0</v>
      </c>
      <c r="C38" s="52" t="s">
        <v>557</v>
      </c>
      <c r="D38" s="51"/>
      <c r="E38" s="105"/>
    </row>
    <row r="39" ht="15.75" customHeight="1">
      <c r="B39" s="48">
        <v>5.0</v>
      </c>
      <c r="C39" s="48" t="s">
        <v>265</v>
      </c>
      <c r="D39" s="51"/>
      <c r="E39" s="48"/>
    </row>
    <row r="40" ht="15.75" customHeight="1">
      <c r="B40" s="48">
        <v>6.0</v>
      </c>
      <c r="C40" s="48" t="s">
        <v>267</v>
      </c>
      <c r="D40" s="51"/>
      <c r="E40" s="48"/>
    </row>
    <row r="41" ht="15.75" customHeight="1">
      <c r="B41" s="48">
        <v>7.0</v>
      </c>
      <c r="C41" s="48" t="s">
        <v>235</v>
      </c>
      <c r="D41" s="51"/>
      <c r="E41" s="48"/>
    </row>
    <row r="42" ht="15.75" customHeight="1">
      <c r="B42" s="48">
        <v>8.0</v>
      </c>
      <c r="C42" s="48" t="s">
        <v>270</v>
      </c>
      <c r="D42" s="51"/>
      <c r="E42" s="48"/>
    </row>
    <row r="43" ht="15.75" customHeight="1">
      <c r="B43" s="48">
        <v>9.0</v>
      </c>
      <c r="C43" s="52" t="s">
        <v>237</v>
      </c>
      <c r="D43" s="51"/>
      <c r="E43" s="48"/>
    </row>
    <row r="44" ht="15.75" customHeight="1">
      <c r="B44" s="48">
        <v>10.0</v>
      </c>
      <c r="C44" s="52" t="s">
        <v>327</v>
      </c>
      <c r="D44" s="51"/>
      <c r="E44" s="109"/>
    </row>
    <row r="45" ht="15.75" customHeight="1">
      <c r="B45" s="48">
        <v>11.0</v>
      </c>
      <c r="C45" s="48" t="s">
        <v>258</v>
      </c>
      <c r="D45" s="51"/>
      <c r="E45" s="48"/>
    </row>
    <row r="46" ht="15.75" customHeight="1">
      <c r="B46" s="48">
        <v>12.0</v>
      </c>
      <c r="D46" s="51"/>
      <c r="E46" s="48"/>
    </row>
    <row r="47" ht="15.75" customHeight="1">
      <c r="B47" s="48">
        <v>13.0</v>
      </c>
      <c r="D47" s="51"/>
      <c r="E47" s="48"/>
    </row>
    <row r="48" ht="15.75" customHeight="1">
      <c r="B48" s="48"/>
      <c r="C48" s="52"/>
      <c r="D48" s="51"/>
      <c r="E48" s="48"/>
    </row>
    <row r="49" ht="15.75" customHeight="1">
      <c r="B49" s="52"/>
      <c r="C49" s="52"/>
      <c r="D49" s="51"/>
      <c r="E49" s="48"/>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sheetData>
  <dataValidations>
    <dataValidation type="list" allowBlank="1" showErrorMessage="1" sqref="D5:F5">
      <formula1>"Option 1,Option 2"</formula1>
    </dataValidation>
    <dataValidation type="list" allowBlank="1" showErrorMessage="1" sqref="F9">
      <formula1>"Khoản mục doanh thu 1,Khoản mục doanh thu 2"</formula1>
    </dataValidation>
    <dataValidation type="list" allowBlank="1" showErrorMessage="1" sqref="G5">
      <formula1>"Chi tiền đặt cọc mua hàng,Chi tiền mua hàng,Chi tiền sửa chữa,..."</formula1>
    </dataValidation>
    <dataValidation type="list" allowBlank="1" showErrorMessage="1" sqref="E9">
      <formula1>"Khoản mục chi phí 1,Khoản mục chi phí 2"</formula1>
    </dataValidation>
    <dataValidation type="list" allowBlank="1" showErrorMessage="1" sqref="H5">
      <formula1>"Lưu tạm,Hoàn tất,Hủy"</formula1>
    </dataValidation>
    <dataValidation type="list" allowBlank="1" showErrorMessage="1" sqref="C9">
      <formula1>"Tài khoản thanh toán 1,Tài khoản thanh toán 2"</formula1>
    </dataValidation>
    <dataValidation type="list" allowBlank="1" showErrorMessage="1" sqref="B9">
      <formula1>"Tiền mặt,Chuyển khoản"</formula1>
    </dataValidation>
  </dataValidations>
  <printOptions/>
  <pageMargins bottom="0.75" footer="0.0" header="0.0" left="0.7" right="0.7" top="0.75"/>
  <pageSetup orientation="landscape"/>
  <drawing r:id="rId2"/>
  <legacyDrawing r:id="rId3"/>
  <tableParts count="1">
    <tablePart r:id="rId5"/>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4.86"/>
    <col customWidth="1" min="3" max="3" width="22.57"/>
    <col customWidth="1" min="4" max="4" width="27.57"/>
    <col customWidth="1" min="5" max="5" width="29.57"/>
    <col customWidth="1" min="6" max="6" width="21.29"/>
    <col customWidth="1" min="7" max="7" width="22.0"/>
    <col customWidth="1" min="8" max="8" width="21.86"/>
    <col customWidth="1" min="9" max="9" width="18.57"/>
    <col customWidth="1" min="10" max="10" width="21.57"/>
    <col customWidth="1" min="11" max="11" width="19.14"/>
    <col customWidth="1" min="12" max="12" width="16.14"/>
    <col customWidth="1" min="13" max="13" width="16.71"/>
    <col customWidth="1" min="14" max="14" width="17.14"/>
    <col customWidth="1" min="15" max="15" width="15.29"/>
  </cols>
  <sheetData>
    <row r="2" ht="15.75" customHeight="1">
      <c r="A2" s="41">
        <v>1.0</v>
      </c>
      <c r="B2" s="40" t="s">
        <v>830</v>
      </c>
    </row>
    <row r="3" ht="15.75" customHeight="1">
      <c r="B3" s="209" t="s">
        <v>831</v>
      </c>
      <c r="C3" s="210"/>
      <c r="D3" s="210"/>
      <c r="E3" s="210"/>
      <c r="F3" s="210"/>
      <c r="G3" s="210"/>
      <c r="H3" s="210"/>
      <c r="I3" s="218" t="s">
        <v>832</v>
      </c>
      <c r="K3" s="19" t="s">
        <v>833</v>
      </c>
    </row>
    <row r="4" ht="15.75" customHeight="1">
      <c r="B4" s="203" t="s">
        <v>572</v>
      </c>
      <c r="C4" s="19"/>
      <c r="D4" s="19"/>
      <c r="E4" s="19"/>
      <c r="F4" s="19"/>
      <c r="G4" s="19"/>
      <c r="H4" s="19"/>
      <c r="I4" s="177"/>
    </row>
    <row r="5" ht="15.75" customHeight="1">
      <c r="B5" s="167" t="s">
        <v>762</v>
      </c>
      <c r="C5" s="19" t="s">
        <v>401</v>
      </c>
      <c r="D5" s="19" t="s">
        <v>834</v>
      </c>
      <c r="E5" s="19" t="s">
        <v>835</v>
      </c>
      <c r="F5" s="19" t="s">
        <v>836</v>
      </c>
      <c r="G5" s="19" t="s">
        <v>837</v>
      </c>
      <c r="H5" s="19" t="s">
        <v>838</v>
      </c>
      <c r="I5" s="177"/>
    </row>
    <row r="6" ht="15.75" customHeight="1">
      <c r="B6" s="167" t="s">
        <v>839</v>
      </c>
      <c r="C6" s="19" t="s">
        <v>547</v>
      </c>
      <c r="D6" s="19" t="s">
        <v>840</v>
      </c>
      <c r="E6" s="285" t="s">
        <v>841</v>
      </c>
      <c r="I6" s="177"/>
    </row>
    <row r="7" ht="15.75" customHeight="1">
      <c r="B7" s="286" t="s">
        <v>842</v>
      </c>
      <c r="C7" s="43"/>
      <c r="D7" s="43"/>
      <c r="E7" s="43"/>
      <c r="F7" s="43"/>
      <c r="I7" s="169"/>
    </row>
    <row r="8" ht="15.75" customHeight="1">
      <c r="B8" s="270" t="s">
        <v>843</v>
      </c>
      <c r="C8" s="43" t="s">
        <v>844</v>
      </c>
      <c r="D8" s="43" t="s">
        <v>845</v>
      </c>
      <c r="E8" s="19" t="s">
        <v>786</v>
      </c>
      <c r="F8" s="19" t="s">
        <v>846</v>
      </c>
      <c r="G8" s="43" t="s">
        <v>847</v>
      </c>
      <c r="H8" s="43" t="s">
        <v>848</v>
      </c>
      <c r="I8" s="287" t="s">
        <v>148</v>
      </c>
    </row>
    <row r="9" ht="15.75" customHeight="1">
      <c r="B9" s="203" t="s">
        <v>589</v>
      </c>
      <c r="C9" s="168" t="s">
        <v>214</v>
      </c>
      <c r="D9" s="19" t="s">
        <v>849</v>
      </c>
      <c r="E9" s="19" t="s">
        <v>850</v>
      </c>
      <c r="G9" s="16"/>
      <c r="H9" s="43"/>
      <c r="I9" s="169" t="s">
        <v>851</v>
      </c>
    </row>
    <row r="10" ht="15.75" customHeight="1">
      <c r="B10" s="270" t="s">
        <v>852</v>
      </c>
      <c r="C10" s="43" t="s">
        <v>853</v>
      </c>
      <c r="D10" s="43" t="s">
        <v>854</v>
      </c>
      <c r="E10" s="43" t="s">
        <v>855</v>
      </c>
      <c r="I10" s="169"/>
    </row>
    <row r="11" ht="15.75" customHeight="1">
      <c r="B11" s="203" t="s">
        <v>856</v>
      </c>
      <c r="C11" s="168" t="s">
        <v>214</v>
      </c>
      <c r="D11" s="19" t="s">
        <v>857</v>
      </c>
      <c r="E11" s="16"/>
      <c r="I11" s="169"/>
    </row>
    <row r="12" ht="15.75" customHeight="1">
      <c r="B12" s="225"/>
      <c r="C12" s="226"/>
      <c r="D12" s="226"/>
      <c r="E12" s="226"/>
      <c r="F12" s="226"/>
      <c r="G12" s="226"/>
      <c r="H12" s="218" t="s">
        <v>858</v>
      </c>
      <c r="I12" s="218" t="s">
        <v>859</v>
      </c>
    </row>
    <row r="13" ht="15.75" customHeight="1"/>
    <row r="14">
      <c r="A14" s="40">
        <v>2.0</v>
      </c>
      <c r="B14" s="40" t="s">
        <v>860</v>
      </c>
    </row>
    <row r="15">
      <c r="B15" s="288" t="s">
        <v>861</v>
      </c>
      <c r="C15" s="289"/>
      <c r="D15" s="289"/>
      <c r="E15" s="289"/>
      <c r="F15" s="289"/>
      <c r="G15" s="289"/>
      <c r="H15" s="289"/>
      <c r="I15" s="289"/>
      <c r="J15" s="289"/>
      <c r="K15" s="289"/>
      <c r="L15" s="289"/>
      <c r="M15" s="289"/>
      <c r="N15" s="289"/>
      <c r="O15" s="289"/>
    </row>
    <row r="16">
      <c r="A16" s="42"/>
      <c r="B16" s="181" t="s">
        <v>1</v>
      </c>
      <c r="C16" s="182" t="s">
        <v>862</v>
      </c>
      <c r="D16" s="182" t="s">
        <v>401</v>
      </c>
      <c r="E16" s="182" t="s">
        <v>863</v>
      </c>
      <c r="F16" s="182" t="s">
        <v>864</v>
      </c>
      <c r="G16" s="182" t="s">
        <v>865</v>
      </c>
      <c r="H16" s="182" t="s">
        <v>836</v>
      </c>
      <c r="I16" s="182" t="s">
        <v>866</v>
      </c>
      <c r="J16" s="182" t="s">
        <v>867</v>
      </c>
      <c r="K16" s="182" t="s">
        <v>868</v>
      </c>
      <c r="L16" s="182" t="s">
        <v>869</v>
      </c>
      <c r="M16" s="182" t="s">
        <v>870</v>
      </c>
      <c r="N16" s="182" t="s">
        <v>871</v>
      </c>
      <c r="O16" s="182" t="s">
        <v>872</v>
      </c>
    </row>
    <row r="17">
      <c r="A17" s="42"/>
      <c r="B17" s="182"/>
      <c r="C17" s="182" t="s">
        <v>841</v>
      </c>
      <c r="D17" s="182" t="s">
        <v>547</v>
      </c>
      <c r="E17" s="181" t="s">
        <v>589</v>
      </c>
      <c r="F17" s="181" t="s">
        <v>856</v>
      </c>
      <c r="G17" s="183"/>
      <c r="H17" s="183"/>
      <c r="I17" s="183"/>
      <c r="J17" s="182"/>
      <c r="K17" s="182"/>
      <c r="L17" s="182"/>
      <c r="M17" s="183"/>
      <c r="N17" s="183"/>
      <c r="O17" s="183"/>
    </row>
    <row r="18" ht="15.75" customHeight="1">
      <c r="B18" s="182"/>
      <c r="C18" s="182"/>
      <c r="D18" s="182"/>
      <c r="E18" s="182"/>
      <c r="F18" s="182"/>
      <c r="G18" s="182"/>
      <c r="H18" s="182"/>
      <c r="I18" s="182"/>
      <c r="J18" s="182"/>
      <c r="K18" s="182"/>
      <c r="L18" s="182"/>
      <c r="M18" s="183"/>
      <c r="N18" s="183"/>
      <c r="O18" s="183"/>
    </row>
    <row r="19" ht="15.75" customHeight="1">
      <c r="B19" s="182"/>
      <c r="C19" s="182"/>
      <c r="D19" s="182"/>
      <c r="E19" s="182"/>
      <c r="F19" s="182"/>
      <c r="G19" s="182"/>
      <c r="H19" s="182"/>
      <c r="I19" s="182"/>
      <c r="J19" s="182"/>
      <c r="K19" s="182"/>
      <c r="L19" s="182"/>
      <c r="M19" s="183"/>
      <c r="N19" s="183"/>
      <c r="O19" s="183"/>
    </row>
    <row r="20" ht="15.75" customHeight="1">
      <c r="B20" s="181"/>
      <c r="C20" s="183"/>
      <c r="D20" s="184"/>
      <c r="E20" s="184"/>
      <c r="F20" s="184"/>
      <c r="G20" s="184"/>
      <c r="H20" s="184"/>
      <c r="I20" s="184"/>
      <c r="J20" s="184"/>
      <c r="K20" s="184"/>
      <c r="L20" s="184"/>
      <c r="M20" s="183"/>
      <c r="N20" s="183"/>
      <c r="O20" s="183"/>
    </row>
    <row r="21" ht="15.75" customHeight="1"/>
    <row r="22" ht="15.75" customHeight="1">
      <c r="B22" s="19" t="s">
        <v>873</v>
      </c>
    </row>
    <row r="23" ht="15.75" customHeight="1">
      <c r="A23" s="40">
        <v>3.0</v>
      </c>
      <c r="B23" s="40" t="s">
        <v>874</v>
      </c>
    </row>
    <row r="24" ht="15.75" customHeight="1">
      <c r="B24" s="288" t="s">
        <v>875</v>
      </c>
      <c r="C24" s="289"/>
      <c r="D24" s="289"/>
      <c r="E24" s="289"/>
      <c r="F24" s="289"/>
      <c r="G24" s="289"/>
      <c r="H24" s="289"/>
    </row>
    <row r="25" ht="15.75" customHeight="1">
      <c r="A25" s="42"/>
      <c r="B25" s="181" t="s">
        <v>1</v>
      </c>
      <c r="C25" s="19" t="s">
        <v>876</v>
      </c>
      <c r="D25" s="182" t="s">
        <v>401</v>
      </c>
      <c r="E25" s="19" t="s">
        <v>877</v>
      </c>
      <c r="F25" s="19" t="s">
        <v>878</v>
      </c>
      <c r="G25" s="19" t="s">
        <v>870</v>
      </c>
      <c r="H25" s="19" t="s">
        <v>879</v>
      </c>
    </row>
    <row r="26" ht="15.75" customHeight="1">
      <c r="A26" s="42"/>
      <c r="B26" s="182"/>
      <c r="C26" s="182" t="s">
        <v>841</v>
      </c>
      <c r="D26" s="182" t="s">
        <v>547</v>
      </c>
      <c r="E26" s="182"/>
      <c r="F26" s="182"/>
      <c r="G26" s="183"/>
      <c r="H26" s="183"/>
    </row>
    <row r="27" ht="15.75" customHeight="1">
      <c r="B27" s="182"/>
      <c r="C27" s="182"/>
      <c r="D27" s="182"/>
      <c r="E27" s="182"/>
      <c r="F27" s="182"/>
      <c r="G27" s="182"/>
      <c r="H27" s="182"/>
    </row>
    <row r="28" ht="15.75" customHeight="1">
      <c r="B28" s="182"/>
      <c r="C28" s="182"/>
      <c r="D28" s="182"/>
      <c r="E28" s="182"/>
      <c r="F28" s="182"/>
      <c r="G28" s="182"/>
      <c r="H28" s="182"/>
    </row>
    <row r="29" ht="15.75" customHeight="1">
      <c r="B29" s="181"/>
      <c r="C29" s="183"/>
      <c r="D29" s="184"/>
      <c r="E29" s="184"/>
      <c r="F29" s="184"/>
      <c r="G29" s="184"/>
      <c r="H29" s="184"/>
    </row>
    <row r="30" ht="15.75" customHeight="1">
      <c r="A30" s="40"/>
      <c r="B30" s="39"/>
      <c r="H30" s="19"/>
    </row>
    <row r="31" ht="15.75" customHeight="1">
      <c r="A31" s="40" t="s">
        <v>880</v>
      </c>
      <c r="B31" s="40" t="s">
        <v>881</v>
      </c>
      <c r="H31" s="19"/>
    </row>
    <row r="32" ht="15.75" customHeight="1">
      <c r="A32" s="40"/>
      <c r="B32" s="39"/>
      <c r="H32" s="19"/>
    </row>
    <row r="33" ht="15.75" customHeight="1">
      <c r="A33" s="40"/>
      <c r="B33" s="39"/>
      <c r="H33" s="19"/>
    </row>
    <row r="34" ht="15.75" customHeight="1">
      <c r="A34" s="40"/>
      <c r="B34" s="39"/>
      <c r="H34" s="19"/>
    </row>
    <row r="35" ht="15.75" customHeight="1">
      <c r="A35" s="40"/>
      <c r="B35" s="39"/>
      <c r="H35" s="19"/>
    </row>
    <row r="36" ht="15.75" customHeight="1">
      <c r="A36" s="40"/>
      <c r="B36" s="39"/>
      <c r="H36" s="19"/>
    </row>
    <row r="37" ht="15.75" customHeight="1">
      <c r="A37" s="40"/>
      <c r="B37" s="39"/>
      <c r="H37" s="19"/>
    </row>
    <row r="38" ht="15.75" customHeight="1">
      <c r="A38" s="40"/>
      <c r="B38" s="39"/>
      <c r="H38" s="19"/>
    </row>
    <row r="39" ht="15.75" customHeight="1">
      <c r="A39" s="40"/>
      <c r="B39" s="39"/>
      <c r="H39" s="19"/>
    </row>
    <row r="40" ht="15.75" customHeight="1">
      <c r="A40" s="40"/>
      <c r="B40" s="39"/>
      <c r="H40" s="19"/>
    </row>
    <row r="41" ht="15.75" customHeight="1">
      <c r="A41" s="40">
        <v>3.0</v>
      </c>
      <c r="B41" s="39" t="s">
        <v>129</v>
      </c>
      <c r="H41" s="19" t="s">
        <v>873</v>
      </c>
    </row>
    <row r="42" ht="15.75" customHeight="1"/>
    <row r="43" ht="15.75" customHeight="1">
      <c r="B43" s="46" t="s">
        <v>1</v>
      </c>
      <c r="C43" s="47" t="s">
        <v>130</v>
      </c>
      <c r="D43" s="47" t="s">
        <v>131</v>
      </c>
      <c r="E43" s="47" t="s">
        <v>7</v>
      </c>
    </row>
    <row r="44" ht="15.75" customHeight="1">
      <c r="B44" s="48">
        <v>1.0</v>
      </c>
      <c r="C44" s="48" t="s">
        <v>132</v>
      </c>
      <c r="D44" s="51"/>
      <c r="E44" s="48"/>
    </row>
    <row r="45" ht="15.75" customHeight="1">
      <c r="B45" s="48">
        <v>2.0</v>
      </c>
      <c r="C45" s="52" t="s">
        <v>310</v>
      </c>
      <c r="D45" s="51"/>
      <c r="E45" s="48"/>
    </row>
    <row r="46" ht="15.75" customHeight="1">
      <c r="B46" s="48">
        <v>3.0</v>
      </c>
      <c r="C46" s="48" t="s">
        <v>263</v>
      </c>
      <c r="D46" s="51"/>
      <c r="E46" s="48"/>
    </row>
    <row r="47" ht="15.75" customHeight="1">
      <c r="B47" s="48">
        <v>4.0</v>
      </c>
      <c r="C47" s="52" t="s">
        <v>557</v>
      </c>
      <c r="D47" s="51"/>
      <c r="E47" s="105"/>
    </row>
    <row r="48" ht="15.75" customHeight="1">
      <c r="B48" s="48">
        <v>5.0</v>
      </c>
      <c r="C48" s="48" t="s">
        <v>265</v>
      </c>
      <c r="D48" s="51"/>
      <c r="E48" s="48"/>
    </row>
    <row r="49" ht="15.75" customHeight="1">
      <c r="B49" s="48">
        <v>6.0</v>
      </c>
      <c r="C49" s="48" t="s">
        <v>267</v>
      </c>
      <c r="D49" s="51"/>
      <c r="E49" s="48"/>
    </row>
    <row r="50" ht="15.75" customHeight="1">
      <c r="B50" s="48">
        <v>7.0</v>
      </c>
      <c r="C50" s="48" t="s">
        <v>235</v>
      </c>
      <c r="D50" s="51"/>
      <c r="E50" s="48"/>
    </row>
    <row r="51" ht="15.75" customHeight="1">
      <c r="B51" s="48">
        <v>8.0</v>
      </c>
      <c r="C51" s="48" t="s">
        <v>270</v>
      </c>
      <c r="D51" s="51"/>
      <c r="E51" s="48"/>
    </row>
    <row r="52" ht="15.75" customHeight="1">
      <c r="B52" s="48">
        <v>9.0</v>
      </c>
      <c r="C52" s="52" t="s">
        <v>237</v>
      </c>
      <c r="D52" s="51"/>
      <c r="E52" s="48"/>
    </row>
    <row r="53" ht="15.75" customHeight="1">
      <c r="B53" s="48">
        <v>10.0</v>
      </c>
      <c r="C53" s="52" t="s">
        <v>327</v>
      </c>
      <c r="D53" s="51"/>
      <c r="E53" s="109"/>
    </row>
    <row r="54" ht="15.75" customHeight="1">
      <c r="B54" s="48">
        <v>11.0</v>
      </c>
      <c r="C54" s="48" t="s">
        <v>258</v>
      </c>
      <c r="D54" s="51"/>
      <c r="E54" s="48"/>
    </row>
    <row r="55" ht="15.75" customHeight="1">
      <c r="B55" s="48">
        <v>12.0</v>
      </c>
      <c r="D55" s="51"/>
      <c r="E55" s="48"/>
    </row>
    <row r="56" ht="15.75" customHeight="1">
      <c r="B56" s="48">
        <v>13.0</v>
      </c>
      <c r="D56" s="51"/>
      <c r="E56" s="48"/>
    </row>
    <row r="57" ht="15.75" customHeight="1">
      <c r="B57" s="48"/>
      <c r="C57" s="52"/>
      <c r="D57" s="51"/>
      <c r="E57" s="48"/>
    </row>
    <row r="58" ht="15.75" customHeight="1">
      <c r="B58" s="52"/>
      <c r="C58" s="52"/>
      <c r="D58" s="51"/>
      <c r="E58" s="48"/>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dataValidations>
    <dataValidation type="list" allowBlank="1" showErrorMessage="1" sqref="D6">
      <formula1>"Mượn,Trả"</formula1>
    </dataValidation>
    <dataValidation type="list" allowBlank="1" showErrorMessage="1" sqref="I9">
      <formula1>"Chờ duyệt,Đã duyệt,Hoàn tất"</formula1>
    </dataValidation>
    <dataValidation type="list" allowBlank="1" showErrorMessage="1" sqref="B9 B11 E17:F17">
      <formula1>"Chi nhánh 1,Chi nhánh 2"</formula1>
    </dataValidation>
    <dataValidation type="list" allowBlank="1" showErrorMessage="1" sqref="C9 C11">
      <formula1>"Quản lý,Kinh doanh"</formula1>
    </dataValidation>
    <dataValidation type="list" allowBlank="1" showErrorMessage="1" sqref="D9 D11">
      <formula1>"Quầy thu ngân 1,Quầy thu ngân 2,Quầy thu ngân 3,Quầy thu ngân 4"</formula1>
    </dataValidation>
    <dataValidation type="list" allowBlank="1" showErrorMessage="1" sqref="N17">
      <formula1>"Còn nợ,Đã trả,Quá hạn"</formula1>
    </dataValidation>
    <dataValidation type="list" allowBlank="1" showErrorMessage="1" sqref="G9 E11">
      <formula1>"Tài khoản thanh toán 1,Tài khoản thanh toán 2"</formula1>
    </dataValidation>
    <dataValidation type="list" allowBlank="1" showErrorMessage="1" sqref="E9">
      <formula1>"Tiền mặt,Chuyển khoản,TM/CK"</formula1>
    </dataValidation>
  </dataValidations>
  <printOptions/>
  <pageMargins bottom="0.75" footer="0.0" header="0.0" left="0.7" right="0.7" top="0.75"/>
  <pageSetup orientation="landscape"/>
  <drawing r:id="rId2"/>
  <legacyDrawing r:id="rId3"/>
  <tableParts count="1">
    <tablePart r:id="rId5"/>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4.86"/>
    <col customWidth="1" min="3" max="3" width="25.43"/>
    <col customWidth="1" min="4" max="4" width="27.57"/>
    <col customWidth="1" min="5" max="6" width="29.57"/>
    <col customWidth="1" min="7" max="7" width="32.57"/>
    <col customWidth="1" min="8" max="8" width="21.86"/>
    <col customWidth="1" min="9" max="9" width="18.57"/>
    <col customWidth="1" min="10" max="10" width="21.57"/>
    <col customWidth="1" min="11" max="11" width="19.14"/>
    <col customWidth="1" min="12" max="12" width="16.43"/>
  </cols>
  <sheetData>
    <row r="2" ht="15.75" customHeight="1">
      <c r="A2" s="41">
        <v>1.0</v>
      </c>
      <c r="B2" s="40" t="s">
        <v>882</v>
      </c>
    </row>
    <row r="3" ht="15.75" customHeight="1">
      <c r="B3" s="209" t="s">
        <v>831</v>
      </c>
      <c r="C3" s="210"/>
      <c r="D3" s="210"/>
      <c r="E3" s="210"/>
      <c r="F3" s="210"/>
      <c r="G3" s="210"/>
      <c r="H3" s="210"/>
      <c r="I3" s="210"/>
    </row>
    <row r="4" ht="15.75" customHeight="1">
      <c r="B4" s="164" t="s">
        <v>762</v>
      </c>
      <c r="C4" s="19" t="s">
        <v>401</v>
      </c>
      <c r="D4" s="19" t="s">
        <v>834</v>
      </c>
      <c r="E4" s="19" t="s">
        <v>835</v>
      </c>
      <c r="F4" s="19" t="s">
        <v>23</v>
      </c>
      <c r="G4" s="19" t="s">
        <v>543</v>
      </c>
      <c r="H4" s="169" t="s">
        <v>456</v>
      </c>
      <c r="I4" s="169" t="s">
        <v>883</v>
      </c>
    </row>
    <row r="5" ht="15.75" customHeight="1">
      <c r="B5" s="167" t="s">
        <v>769</v>
      </c>
      <c r="C5" s="19" t="s">
        <v>547</v>
      </c>
      <c r="D5" s="19" t="s">
        <v>840</v>
      </c>
      <c r="E5" s="19" t="s">
        <v>841</v>
      </c>
      <c r="F5" s="19"/>
      <c r="G5" s="19"/>
      <c r="H5" s="177"/>
      <c r="I5" s="177"/>
    </row>
    <row r="6" ht="15.75" customHeight="1">
      <c r="B6" s="270" t="s">
        <v>843</v>
      </c>
      <c r="C6" s="43" t="s">
        <v>844</v>
      </c>
      <c r="D6" s="43" t="s">
        <v>845</v>
      </c>
      <c r="E6" s="290" t="s">
        <v>884</v>
      </c>
      <c r="F6" s="43" t="s">
        <v>885</v>
      </c>
      <c r="H6" s="177"/>
      <c r="I6" s="177"/>
    </row>
    <row r="7" ht="15.75" customHeight="1">
      <c r="B7" s="203"/>
      <c r="C7" s="168"/>
      <c r="D7" s="19"/>
      <c r="E7" s="291"/>
      <c r="F7" s="43"/>
      <c r="H7" s="177"/>
      <c r="I7" s="177"/>
    </row>
    <row r="8" ht="15.75" customHeight="1">
      <c r="B8" s="270" t="s">
        <v>852</v>
      </c>
      <c r="C8" s="43" t="s">
        <v>853</v>
      </c>
      <c r="D8" s="43" t="s">
        <v>854</v>
      </c>
      <c r="E8" s="290" t="s">
        <v>886</v>
      </c>
      <c r="F8" s="43" t="s">
        <v>148</v>
      </c>
      <c r="H8" s="177"/>
      <c r="I8" s="177"/>
    </row>
    <row r="9" ht="15.75" customHeight="1">
      <c r="B9" s="203"/>
      <c r="C9" s="168"/>
      <c r="D9" s="19"/>
      <c r="E9" s="291"/>
      <c r="F9" s="19" t="s">
        <v>804</v>
      </c>
      <c r="H9" s="177"/>
      <c r="I9" s="177"/>
    </row>
    <row r="10" ht="15.75" customHeight="1">
      <c r="B10" s="225"/>
      <c r="C10" s="226"/>
      <c r="D10" s="226"/>
      <c r="E10" s="226"/>
      <c r="F10" s="226"/>
      <c r="G10" s="226"/>
      <c r="H10" s="227" t="s">
        <v>235</v>
      </c>
      <c r="I10" s="227" t="s">
        <v>237</v>
      </c>
    </row>
    <row r="11" ht="15.75" customHeight="1">
      <c r="B11" s="200"/>
    </row>
    <row r="12" ht="15.75" customHeight="1">
      <c r="B12" s="277" t="s">
        <v>887</v>
      </c>
      <c r="C12" s="180"/>
      <c r="D12" s="180"/>
      <c r="E12" s="180"/>
      <c r="F12" s="180"/>
      <c r="G12" s="180"/>
      <c r="H12" s="180"/>
      <c r="I12" s="180"/>
      <c r="J12" s="180"/>
      <c r="K12" s="180"/>
    </row>
    <row r="13" ht="15.75" customHeight="1">
      <c r="B13" s="181" t="s">
        <v>1</v>
      </c>
      <c r="C13" s="181" t="s">
        <v>762</v>
      </c>
      <c r="D13" s="181" t="s">
        <v>401</v>
      </c>
      <c r="E13" s="181" t="s">
        <v>834</v>
      </c>
      <c r="F13" s="181" t="s">
        <v>835</v>
      </c>
      <c r="G13" s="181" t="s">
        <v>23</v>
      </c>
      <c r="H13" s="181" t="s">
        <v>543</v>
      </c>
      <c r="I13" s="181" t="s">
        <v>456</v>
      </c>
      <c r="J13" s="181" t="s">
        <v>883</v>
      </c>
      <c r="K13" s="194" t="s">
        <v>148</v>
      </c>
    </row>
    <row r="14" ht="15.75" customHeight="1">
      <c r="B14" s="183"/>
      <c r="C14" s="183"/>
      <c r="D14" s="183"/>
      <c r="E14" s="183"/>
      <c r="F14" s="183"/>
      <c r="G14" s="183"/>
      <c r="H14" s="183"/>
      <c r="I14" s="183"/>
      <c r="J14" s="183"/>
      <c r="K14" s="182" t="s">
        <v>804</v>
      </c>
    </row>
    <row r="15" ht="15.75" customHeight="1">
      <c r="B15" s="183"/>
      <c r="C15" s="183"/>
      <c r="D15" s="183"/>
      <c r="E15" s="183"/>
      <c r="F15" s="183"/>
      <c r="G15" s="183"/>
      <c r="H15" s="183"/>
      <c r="I15" s="183"/>
      <c r="J15" s="183"/>
      <c r="K15" s="183"/>
    </row>
    <row r="16" ht="15.75" customHeight="1">
      <c r="B16" s="183"/>
      <c r="C16" s="183"/>
      <c r="D16" s="183"/>
      <c r="E16" s="183"/>
      <c r="F16" s="183"/>
      <c r="G16" s="183"/>
      <c r="H16" s="183"/>
      <c r="I16" s="183"/>
      <c r="J16" s="183"/>
      <c r="K16" s="183"/>
    </row>
    <row r="17" ht="15.75" customHeight="1">
      <c r="B17" s="183"/>
      <c r="C17" s="183"/>
      <c r="D17" s="183"/>
      <c r="E17" s="183"/>
      <c r="F17" s="183"/>
      <c r="G17" s="183"/>
      <c r="H17" s="183"/>
      <c r="I17" s="183"/>
      <c r="J17" s="183"/>
      <c r="K17" s="183"/>
    </row>
    <row r="18" ht="15.75" customHeight="1">
      <c r="B18" s="183"/>
      <c r="C18" s="183"/>
      <c r="D18" s="183"/>
      <c r="E18" s="183"/>
      <c r="F18" s="183"/>
      <c r="G18" s="183"/>
      <c r="H18" s="183"/>
      <c r="I18" s="183"/>
      <c r="J18" s="183"/>
      <c r="K18" s="183"/>
    </row>
    <row r="19" ht="15.75" customHeight="1">
      <c r="B19" s="183"/>
      <c r="C19" s="183"/>
      <c r="D19" s="183"/>
      <c r="E19" s="183"/>
      <c r="F19" s="183"/>
      <c r="G19" s="183"/>
      <c r="H19" s="183"/>
      <c r="I19" s="183"/>
      <c r="J19" s="183"/>
      <c r="K19" s="183"/>
    </row>
    <row r="20" ht="15.75" customHeight="1">
      <c r="B20" s="183"/>
      <c r="C20" s="183"/>
      <c r="D20" s="183"/>
      <c r="E20" s="183"/>
      <c r="F20" s="183"/>
      <c r="G20" s="183"/>
      <c r="H20" s="183"/>
      <c r="I20" s="183"/>
      <c r="J20" s="183"/>
      <c r="K20" s="183"/>
    </row>
    <row r="21" ht="15.75" customHeight="1"/>
    <row r="22">
      <c r="A22" s="40">
        <v>2.0</v>
      </c>
      <c r="B22" s="40" t="s">
        <v>860</v>
      </c>
    </row>
    <row r="23">
      <c r="B23" s="179" t="s">
        <v>539</v>
      </c>
      <c r="C23" s="180"/>
      <c r="D23" s="180"/>
      <c r="E23" s="180"/>
      <c r="F23" s="180"/>
      <c r="G23" s="180"/>
      <c r="H23" s="180"/>
      <c r="I23" s="180"/>
      <c r="J23" s="180"/>
      <c r="K23" s="180"/>
      <c r="L23" s="180"/>
    </row>
    <row r="24">
      <c r="A24" s="42"/>
      <c r="B24" s="181" t="s">
        <v>1</v>
      </c>
      <c r="C24" s="181"/>
      <c r="D24" s="181"/>
      <c r="E24" s="181"/>
      <c r="F24" s="181"/>
      <c r="G24" s="181"/>
      <c r="H24" s="181"/>
      <c r="I24" s="181"/>
      <c r="J24" s="181"/>
      <c r="K24" s="181"/>
      <c r="L24" s="181"/>
    </row>
    <row r="25">
      <c r="A25" s="42"/>
      <c r="B25" s="182"/>
      <c r="C25" s="182"/>
      <c r="D25" s="182"/>
      <c r="E25" s="182"/>
      <c r="F25" s="182"/>
      <c r="G25" s="182"/>
      <c r="H25" s="182"/>
      <c r="I25" s="182"/>
      <c r="J25" s="182"/>
      <c r="K25" s="182"/>
      <c r="L25" s="182"/>
    </row>
    <row r="26" ht="15.75" customHeight="1">
      <c r="B26" s="182"/>
      <c r="C26" s="182"/>
      <c r="D26" s="182"/>
      <c r="E26" s="182"/>
      <c r="F26" s="182"/>
      <c r="G26" s="182"/>
      <c r="H26" s="182"/>
      <c r="I26" s="182"/>
      <c r="J26" s="182"/>
      <c r="K26" s="182"/>
      <c r="L26" s="182"/>
    </row>
    <row r="27" ht="15.75" customHeight="1">
      <c r="B27" s="182"/>
      <c r="C27" s="182"/>
      <c r="D27" s="182"/>
      <c r="E27" s="182"/>
      <c r="F27" s="182"/>
      <c r="G27" s="182"/>
      <c r="H27" s="182"/>
      <c r="I27" s="182"/>
      <c r="J27" s="182"/>
      <c r="K27" s="182"/>
      <c r="L27" s="182"/>
    </row>
    <row r="28" ht="15.75" customHeight="1">
      <c r="B28" s="181"/>
      <c r="C28" s="183"/>
      <c r="D28" s="184"/>
      <c r="E28" s="184"/>
      <c r="F28" s="184"/>
      <c r="G28" s="184"/>
      <c r="H28" s="184"/>
      <c r="I28" s="184"/>
      <c r="J28" s="184"/>
      <c r="K28" s="184"/>
      <c r="L28" s="184"/>
    </row>
    <row r="29" ht="15.75" customHeight="1"/>
    <row r="30" ht="15.75" customHeight="1"/>
    <row r="31" ht="15.75" customHeight="1">
      <c r="A31" s="40">
        <v>3.0</v>
      </c>
      <c r="B31" s="39" t="s">
        <v>129</v>
      </c>
    </row>
    <row r="32" ht="15.75" customHeight="1"/>
    <row r="33" ht="15.75" customHeight="1">
      <c r="B33" s="46" t="s">
        <v>1</v>
      </c>
      <c r="C33" s="47" t="s">
        <v>130</v>
      </c>
      <c r="D33" s="47" t="s">
        <v>131</v>
      </c>
      <c r="E33" s="47" t="s">
        <v>7</v>
      </c>
    </row>
    <row r="34" ht="15.75" customHeight="1">
      <c r="B34" s="48">
        <v>1.0</v>
      </c>
      <c r="C34" s="48" t="s">
        <v>132</v>
      </c>
      <c r="D34" s="51"/>
      <c r="E34" s="48"/>
    </row>
    <row r="35" ht="15.75" customHeight="1">
      <c r="B35" s="48">
        <v>2.0</v>
      </c>
      <c r="C35" s="52" t="s">
        <v>310</v>
      </c>
      <c r="D35" s="51"/>
      <c r="E35" s="48"/>
    </row>
    <row r="36" ht="15.75" customHeight="1">
      <c r="B36" s="48">
        <v>3.0</v>
      </c>
      <c r="C36" s="48" t="s">
        <v>263</v>
      </c>
      <c r="D36" s="51"/>
      <c r="E36" s="48"/>
    </row>
    <row r="37" ht="15.75" customHeight="1">
      <c r="B37" s="48">
        <v>4.0</v>
      </c>
      <c r="C37" s="52" t="s">
        <v>557</v>
      </c>
      <c r="D37" s="51"/>
      <c r="E37" s="105"/>
    </row>
    <row r="38" ht="15.75" customHeight="1">
      <c r="B38" s="48">
        <v>5.0</v>
      </c>
      <c r="C38" s="48" t="s">
        <v>265</v>
      </c>
      <c r="D38" s="51"/>
      <c r="E38" s="48"/>
    </row>
    <row r="39" ht="15.75" customHeight="1">
      <c r="B39" s="48">
        <v>6.0</v>
      </c>
      <c r="C39" s="48" t="s">
        <v>267</v>
      </c>
      <c r="D39" s="51"/>
      <c r="E39" s="48"/>
    </row>
    <row r="40" ht="15.75" customHeight="1">
      <c r="B40" s="48">
        <v>7.0</v>
      </c>
      <c r="C40" s="48" t="s">
        <v>235</v>
      </c>
      <c r="D40" s="51"/>
      <c r="E40" s="48"/>
    </row>
    <row r="41" ht="15.75" customHeight="1">
      <c r="B41" s="48">
        <v>8.0</v>
      </c>
      <c r="C41" s="48" t="s">
        <v>270</v>
      </c>
      <c r="D41" s="51"/>
      <c r="E41" s="48"/>
    </row>
    <row r="42" ht="15.75" customHeight="1">
      <c r="B42" s="48">
        <v>9.0</v>
      </c>
      <c r="C42" s="52" t="s">
        <v>237</v>
      </c>
      <c r="D42" s="51"/>
      <c r="E42" s="48"/>
    </row>
    <row r="43" ht="15.75" customHeight="1">
      <c r="B43" s="48">
        <v>10.0</v>
      </c>
      <c r="C43" s="52" t="s">
        <v>327</v>
      </c>
      <c r="D43" s="51"/>
      <c r="E43" s="109"/>
    </row>
    <row r="44" ht="15.75" customHeight="1">
      <c r="B44" s="48">
        <v>11.0</v>
      </c>
      <c r="C44" s="48" t="s">
        <v>258</v>
      </c>
      <c r="D44" s="51"/>
      <c r="E44" s="48"/>
    </row>
    <row r="45" ht="15.75" customHeight="1">
      <c r="B45" s="48">
        <v>12.0</v>
      </c>
      <c r="D45" s="51"/>
      <c r="E45" s="48"/>
    </row>
    <row r="46" ht="15.75" customHeight="1">
      <c r="B46" s="48">
        <v>13.0</v>
      </c>
      <c r="D46" s="51"/>
      <c r="E46" s="48"/>
    </row>
    <row r="47" ht="15.75" customHeight="1">
      <c r="B47" s="48"/>
      <c r="C47" s="52"/>
      <c r="D47" s="51"/>
      <c r="E47" s="48"/>
    </row>
    <row r="48" ht="15.75" customHeight="1">
      <c r="B48" s="52"/>
      <c r="C48" s="52"/>
      <c r="D48" s="51"/>
      <c r="E48" s="48"/>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dataValidations>
    <dataValidation type="list" allowBlank="1" showErrorMessage="1" sqref="D5">
      <formula1>"Mượn,Trả"</formula1>
    </dataValidation>
    <dataValidation type="list" allowBlank="1" showErrorMessage="1" sqref="B7:D7 B9:D9">
      <formula1>"Chi nhánh 1,Chi nhánh 2,Chi nhánh 3,Chi nhánh 4"</formula1>
    </dataValidation>
    <dataValidation type="list" allowBlank="1" showErrorMessage="1" sqref="G5">
      <formula1>"Chỉ,Gram"</formula1>
    </dataValidation>
    <dataValidation type="list" allowBlank="1" showErrorMessage="1" sqref="F5">
      <formula1>"Vàng mới,Vàng nguyên liệu"</formula1>
    </dataValidation>
    <dataValidation type="list" allowBlank="1" showErrorMessage="1" sqref="F9 K14">
      <formula1>"Lưu tạm,Hoàn tất,Hủy"</formula1>
    </dataValidation>
    <dataValidation type="list" allowBlank="1" showErrorMessage="1" sqref="E7 E9">
      <formula1>"Tài khoản thanh toán 1,Tài khoản thanh toán 2"</formula1>
    </dataValidation>
  </dataValidations>
  <printOptions/>
  <pageMargins bottom="0.75" footer="0.0" header="0.0" left="0.7" right="0.7" top="0.75"/>
  <pageSetup orientation="landscape"/>
  <drawing r:id="rId2"/>
  <legacyDrawing r:id="rId3"/>
  <tableParts count="1">
    <tablePart r:id="rId5"/>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4.86"/>
    <col customWidth="1" min="3" max="3" width="25.43"/>
    <col customWidth="1" min="4" max="4" width="27.57"/>
    <col customWidth="1" min="5" max="6" width="29.57"/>
    <col customWidth="1" min="7" max="7" width="32.57"/>
    <col customWidth="1" min="8" max="8" width="21.86"/>
    <col customWidth="1" min="9" max="9" width="18.57"/>
    <col customWidth="1" min="10" max="10" width="21.57"/>
    <col customWidth="1" min="11" max="11" width="19.14"/>
    <col customWidth="1" min="12" max="12" width="16.43"/>
  </cols>
  <sheetData>
    <row r="2" ht="15.75" customHeight="1">
      <c r="A2" s="41">
        <v>1.0</v>
      </c>
      <c r="B2" s="40" t="s">
        <v>830</v>
      </c>
    </row>
    <row r="3" ht="15.75" customHeight="1">
      <c r="B3" s="209" t="s">
        <v>831</v>
      </c>
      <c r="C3" s="210"/>
      <c r="D3" s="210"/>
      <c r="E3" s="210"/>
      <c r="F3" s="210"/>
      <c r="G3" s="211"/>
      <c r="H3" s="211"/>
    </row>
    <row r="4" ht="15.75" customHeight="1">
      <c r="B4" s="164" t="s">
        <v>762</v>
      </c>
      <c r="C4" s="19" t="s">
        <v>401</v>
      </c>
      <c r="D4" s="19" t="s">
        <v>834</v>
      </c>
      <c r="E4" s="19" t="s">
        <v>888</v>
      </c>
      <c r="F4" s="19" t="s">
        <v>809</v>
      </c>
      <c r="G4" s="19" t="s">
        <v>786</v>
      </c>
      <c r="H4" s="169" t="s">
        <v>838</v>
      </c>
    </row>
    <row r="5" ht="15.75" customHeight="1">
      <c r="B5" s="167" t="s">
        <v>769</v>
      </c>
      <c r="C5" s="19" t="s">
        <v>547</v>
      </c>
      <c r="D5" s="19" t="s">
        <v>889</v>
      </c>
      <c r="E5" s="19" t="s">
        <v>841</v>
      </c>
      <c r="G5" s="19"/>
      <c r="H5" s="177"/>
    </row>
    <row r="6" ht="15.75" customHeight="1">
      <c r="B6" s="270" t="s">
        <v>890</v>
      </c>
      <c r="C6" s="43" t="s">
        <v>891</v>
      </c>
      <c r="D6" s="43" t="s">
        <v>847</v>
      </c>
      <c r="E6" s="43" t="s">
        <v>885</v>
      </c>
      <c r="H6" s="177"/>
      <c r="I6" s="19"/>
    </row>
    <row r="7" ht="15.75" customHeight="1">
      <c r="B7" s="284"/>
      <c r="C7" s="19"/>
      <c r="D7" s="16"/>
      <c r="E7" s="43"/>
      <c r="H7" s="177"/>
      <c r="I7" s="19"/>
    </row>
    <row r="8" ht="15.75" customHeight="1">
      <c r="B8" s="270" t="s">
        <v>892</v>
      </c>
      <c r="C8" s="43" t="s">
        <v>893</v>
      </c>
      <c r="D8" s="43" t="s">
        <v>855</v>
      </c>
      <c r="E8" s="43" t="s">
        <v>894</v>
      </c>
      <c r="F8" s="43" t="s">
        <v>148</v>
      </c>
      <c r="G8" s="16" t="s">
        <v>895</v>
      </c>
      <c r="H8" s="177"/>
      <c r="I8" s="19"/>
    </row>
    <row r="9" ht="15.75" customHeight="1">
      <c r="B9" s="284"/>
      <c r="C9" s="19"/>
      <c r="D9" s="16"/>
      <c r="F9" s="19" t="s">
        <v>804</v>
      </c>
      <c r="H9" s="177"/>
      <c r="I9" s="19"/>
    </row>
    <row r="10" ht="15.75" customHeight="1">
      <c r="B10" s="225"/>
      <c r="C10" s="226"/>
      <c r="D10" s="226"/>
      <c r="E10" s="226"/>
      <c r="F10" s="226"/>
      <c r="G10" s="227" t="s">
        <v>235</v>
      </c>
      <c r="H10" s="227" t="s">
        <v>237</v>
      </c>
    </row>
    <row r="11" ht="15.75" customHeight="1">
      <c r="B11" s="200"/>
      <c r="G11" s="177"/>
    </row>
    <row r="12" ht="15.75" customHeight="1">
      <c r="B12" s="277" t="s">
        <v>896</v>
      </c>
      <c r="C12" s="180"/>
      <c r="D12" s="180"/>
      <c r="E12" s="180"/>
      <c r="F12" s="180"/>
      <c r="G12" s="222"/>
    </row>
    <row r="13" ht="15.75" customHeight="1">
      <c r="B13" s="181" t="s">
        <v>1</v>
      </c>
      <c r="C13" s="181" t="s">
        <v>131</v>
      </c>
      <c r="D13" s="181" t="s">
        <v>543</v>
      </c>
      <c r="E13" s="181" t="s">
        <v>612</v>
      </c>
      <c r="F13" s="181" t="s">
        <v>167</v>
      </c>
      <c r="G13" s="181" t="s">
        <v>168</v>
      </c>
    </row>
    <row r="14" ht="15.75" customHeight="1">
      <c r="B14" s="183"/>
      <c r="C14" s="183"/>
      <c r="D14" s="183"/>
      <c r="E14" s="183"/>
      <c r="F14" s="183"/>
      <c r="G14" s="183"/>
    </row>
    <row r="15" ht="15.75" customHeight="1">
      <c r="B15" s="183"/>
      <c r="C15" s="183"/>
      <c r="D15" s="183"/>
      <c r="E15" s="183"/>
      <c r="F15" s="183"/>
      <c r="G15" s="183"/>
    </row>
    <row r="16" ht="15.75" customHeight="1">
      <c r="B16" s="183"/>
      <c r="C16" s="183"/>
      <c r="D16" s="183"/>
      <c r="E16" s="183"/>
      <c r="F16" s="183"/>
      <c r="G16" s="183"/>
    </row>
    <row r="17" ht="15.75" customHeight="1">
      <c r="B17" s="183"/>
      <c r="C17" s="183"/>
      <c r="D17" s="183"/>
      <c r="E17" s="183"/>
      <c r="F17" s="183"/>
      <c r="G17" s="183"/>
    </row>
    <row r="18" ht="15.75" customHeight="1">
      <c r="B18" s="183"/>
      <c r="C18" s="183"/>
      <c r="D18" s="183"/>
      <c r="E18" s="183"/>
      <c r="F18" s="183"/>
      <c r="G18" s="183"/>
    </row>
    <row r="19" ht="15.75" customHeight="1">
      <c r="B19" s="183"/>
      <c r="C19" s="183"/>
      <c r="D19" s="183"/>
      <c r="E19" s="183"/>
      <c r="F19" s="183"/>
      <c r="G19" s="183"/>
    </row>
    <row r="20" ht="15.75" customHeight="1">
      <c r="B20" s="183"/>
      <c r="C20" s="183"/>
      <c r="D20" s="183"/>
      <c r="E20" s="183"/>
      <c r="F20" s="183"/>
      <c r="G20" s="183"/>
    </row>
    <row r="21" ht="15.75" customHeight="1"/>
    <row r="22">
      <c r="A22" s="40">
        <v>2.0</v>
      </c>
      <c r="B22" s="40" t="s">
        <v>897</v>
      </c>
    </row>
    <row r="23">
      <c r="B23" s="179" t="s">
        <v>539</v>
      </c>
      <c r="C23" s="180"/>
      <c r="D23" s="180"/>
      <c r="E23" s="180"/>
      <c r="F23" s="180"/>
      <c r="G23" s="180"/>
      <c r="H23" s="180"/>
      <c r="I23" s="180"/>
      <c r="J23" s="180"/>
      <c r="K23" s="180"/>
      <c r="L23" s="180"/>
    </row>
    <row r="24">
      <c r="A24" s="42"/>
      <c r="B24" s="181" t="s">
        <v>1</v>
      </c>
      <c r="C24" s="181"/>
      <c r="D24" s="181"/>
      <c r="E24" s="181"/>
      <c r="F24" s="181"/>
      <c r="G24" s="181"/>
      <c r="H24" s="181"/>
      <c r="I24" s="181"/>
      <c r="J24" s="181"/>
      <c r="K24" s="181"/>
      <c r="L24" s="181"/>
    </row>
    <row r="25">
      <c r="A25" s="42"/>
      <c r="B25" s="182"/>
      <c r="C25" s="182"/>
      <c r="D25" s="182"/>
      <c r="E25" s="182"/>
      <c r="F25" s="182"/>
      <c r="G25" s="182"/>
      <c r="H25" s="182"/>
      <c r="I25" s="182"/>
      <c r="J25" s="182"/>
      <c r="K25" s="182"/>
      <c r="L25" s="182"/>
    </row>
    <row r="26" ht="15.75" customHeight="1">
      <c r="B26" s="182"/>
      <c r="C26" s="182"/>
      <c r="D26" s="182"/>
      <c r="E26" s="182"/>
      <c r="F26" s="182"/>
      <c r="G26" s="182"/>
      <c r="H26" s="182"/>
      <c r="I26" s="182"/>
      <c r="J26" s="182"/>
      <c r="K26" s="182"/>
      <c r="L26" s="182"/>
    </row>
    <row r="27" ht="15.75" customHeight="1">
      <c r="B27" s="182"/>
      <c r="C27" s="182"/>
      <c r="D27" s="182"/>
      <c r="E27" s="182"/>
      <c r="F27" s="182"/>
      <c r="G27" s="182"/>
      <c r="H27" s="182"/>
      <c r="I27" s="182"/>
      <c r="J27" s="182"/>
      <c r="K27" s="182"/>
      <c r="L27" s="182"/>
    </row>
    <row r="28" ht="15.75" customHeight="1">
      <c r="B28" s="181"/>
      <c r="C28" s="183"/>
      <c r="D28" s="184"/>
      <c r="E28" s="184"/>
      <c r="F28" s="184"/>
      <c r="G28" s="184"/>
      <c r="H28" s="184"/>
      <c r="I28" s="184"/>
      <c r="J28" s="184"/>
      <c r="K28" s="184"/>
      <c r="L28" s="184"/>
    </row>
    <row r="29" ht="15.75" customHeight="1"/>
    <row r="30" ht="15.75" customHeight="1"/>
    <row r="31" ht="15.75" customHeight="1">
      <c r="A31" s="40">
        <v>3.0</v>
      </c>
      <c r="B31" s="39" t="s">
        <v>129</v>
      </c>
    </row>
    <row r="32" ht="15.75" customHeight="1"/>
    <row r="33" ht="15.75" customHeight="1">
      <c r="B33" s="46" t="s">
        <v>1</v>
      </c>
      <c r="C33" s="47" t="s">
        <v>130</v>
      </c>
      <c r="D33" s="47" t="s">
        <v>131</v>
      </c>
      <c r="E33" s="47" t="s">
        <v>7</v>
      </c>
    </row>
    <row r="34" ht="15.75" customHeight="1">
      <c r="B34" s="48">
        <v>1.0</v>
      </c>
      <c r="C34" s="48" t="s">
        <v>132</v>
      </c>
      <c r="D34" s="51"/>
      <c r="E34" s="48"/>
    </row>
    <row r="35" ht="15.75" customHeight="1">
      <c r="B35" s="48">
        <v>2.0</v>
      </c>
      <c r="C35" s="52" t="s">
        <v>310</v>
      </c>
      <c r="D35" s="51"/>
      <c r="E35" s="48"/>
    </row>
    <row r="36" ht="15.75" customHeight="1">
      <c r="B36" s="48">
        <v>3.0</v>
      </c>
      <c r="C36" s="48" t="s">
        <v>263</v>
      </c>
      <c r="D36" s="51"/>
      <c r="E36" s="48"/>
    </row>
    <row r="37" ht="15.75" customHeight="1">
      <c r="B37" s="48">
        <v>4.0</v>
      </c>
      <c r="C37" s="52" t="s">
        <v>557</v>
      </c>
      <c r="D37" s="51"/>
      <c r="E37" s="105"/>
    </row>
    <row r="38" ht="15.75" customHeight="1">
      <c r="B38" s="48">
        <v>5.0</v>
      </c>
      <c r="C38" s="48" t="s">
        <v>265</v>
      </c>
      <c r="D38" s="51"/>
      <c r="E38" s="48"/>
    </row>
    <row r="39" ht="15.75" customHeight="1">
      <c r="B39" s="48">
        <v>6.0</v>
      </c>
      <c r="C39" s="48" t="s">
        <v>267</v>
      </c>
      <c r="D39" s="51"/>
      <c r="E39" s="48"/>
    </row>
    <row r="40" ht="15.75" customHeight="1">
      <c r="B40" s="48">
        <v>7.0</v>
      </c>
      <c r="C40" s="48" t="s">
        <v>235</v>
      </c>
      <c r="D40" s="51"/>
      <c r="E40" s="48"/>
    </row>
    <row r="41" ht="15.75" customHeight="1">
      <c r="B41" s="48">
        <v>8.0</v>
      </c>
      <c r="C41" s="48" t="s">
        <v>270</v>
      </c>
      <c r="D41" s="51"/>
      <c r="E41" s="48"/>
    </row>
    <row r="42" ht="15.75" customHeight="1">
      <c r="B42" s="48">
        <v>9.0</v>
      </c>
      <c r="C42" s="52" t="s">
        <v>237</v>
      </c>
      <c r="D42" s="51"/>
      <c r="E42" s="48"/>
    </row>
    <row r="43" ht="15.75" customHeight="1">
      <c r="B43" s="48">
        <v>10.0</v>
      </c>
      <c r="C43" s="52" t="s">
        <v>327</v>
      </c>
      <c r="D43" s="51"/>
      <c r="E43" s="109"/>
    </row>
    <row r="44" ht="15.75" customHeight="1">
      <c r="B44" s="48">
        <v>11.0</v>
      </c>
      <c r="C44" s="48" t="s">
        <v>258</v>
      </c>
      <c r="D44" s="51"/>
      <c r="E44" s="48"/>
    </row>
    <row r="45" ht="15.75" customHeight="1">
      <c r="B45" s="48">
        <v>12.0</v>
      </c>
      <c r="D45" s="51"/>
      <c r="E45" s="48"/>
    </row>
    <row r="46" ht="15.75" customHeight="1">
      <c r="B46" s="48">
        <v>13.0</v>
      </c>
      <c r="D46" s="51"/>
      <c r="E46" s="48"/>
    </row>
    <row r="47" ht="15.75" customHeight="1">
      <c r="B47" s="48"/>
      <c r="C47" s="52"/>
      <c r="D47" s="51"/>
      <c r="E47" s="48"/>
    </row>
    <row r="48" ht="15.75" customHeight="1">
      <c r="B48" s="52"/>
      <c r="C48" s="52"/>
      <c r="D48" s="51"/>
      <c r="E48" s="48"/>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dataValidations>
    <dataValidation type="list" allowBlank="1" showErrorMessage="1" sqref="B7:C7 B9:C9">
      <formula1>"Chi nhánh 1,Chi nhánh 2,Chi nhánh 3,Chi nhánh 4"</formula1>
    </dataValidation>
    <dataValidation type="list" allowBlank="1" showErrorMessage="1" sqref="F9">
      <formula1>"Lưu tạm,Hoàn tất,Hủy"</formula1>
    </dataValidation>
    <dataValidation type="list" allowBlank="1" showErrorMessage="1" sqref="D7 D9">
      <formula1>"Tài khoản thanh toán 1,Tài khoản thanh toán 2"</formula1>
    </dataValidation>
    <dataValidation type="list" allowBlank="1" showErrorMessage="1" sqref="D5">
      <formula1>"Cấp vốn,Mượn,Trả,Tạm ứng ,Hồi ứng,Cân bằng quỹ"</formula1>
    </dataValidation>
    <dataValidation type="list" allowBlank="1" showErrorMessage="1" sqref="G5">
      <formula1>"Tiền mặt,Chuyển khoản"</formula1>
    </dataValidation>
  </dataValidations>
  <printOptions/>
  <pageMargins bottom="0.75" footer="0.0" header="0.0" left="0.7" right="0.7" top="0.75"/>
  <pageSetup orientation="landscape"/>
  <drawing r:id="rId2"/>
  <legacyDrawing r:id="rId3"/>
  <tableParts count="1">
    <tablePart r:id="rId5"/>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4.86"/>
    <col customWidth="1" min="3" max="3" width="25.43"/>
    <col customWidth="1" min="4" max="4" width="27.57"/>
    <col customWidth="1" min="5" max="6" width="29.57"/>
    <col customWidth="1" min="7" max="7" width="32.57"/>
    <col customWidth="1" min="8" max="8" width="21.86"/>
    <col customWidth="1" min="9" max="9" width="18.57"/>
    <col customWidth="1" min="10" max="10" width="21.57"/>
    <col customWidth="1" min="11" max="11" width="19.14"/>
    <col customWidth="1" min="12" max="12" width="16.43"/>
  </cols>
  <sheetData>
    <row r="2" ht="15.75" customHeight="1">
      <c r="A2" s="41">
        <v>1.0</v>
      </c>
      <c r="B2" s="40" t="s">
        <v>898</v>
      </c>
    </row>
    <row r="3" ht="15.75" customHeight="1">
      <c r="B3" s="209" t="s">
        <v>899</v>
      </c>
      <c r="C3" s="210"/>
      <c r="D3" s="210"/>
      <c r="E3" s="210"/>
      <c r="F3" s="210"/>
      <c r="G3" s="210"/>
      <c r="H3" s="211"/>
    </row>
    <row r="4" ht="15.75" customHeight="1">
      <c r="B4" s="203" t="s">
        <v>572</v>
      </c>
      <c r="C4" s="19"/>
      <c r="D4" s="19"/>
      <c r="E4" s="19"/>
      <c r="F4" s="19"/>
      <c r="G4" s="19"/>
      <c r="H4" s="177"/>
    </row>
    <row r="5" ht="15.75" customHeight="1">
      <c r="B5" s="167" t="s">
        <v>762</v>
      </c>
      <c r="C5" s="19" t="s">
        <v>900</v>
      </c>
      <c r="D5" s="19" t="s">
        <v>809</v>
      </c>
      <c r="E5" s="19" t="s">
        <v>901</v>
      </c>
      <c r="F5" s="19" t="s">
        <v>902</v>
      </c>
      <c r="H5" s="177"/>
    </row>
    <row r="6" ht="15.75" customHeight="1">
      <c r="B6" s="167" t="s">
        <v>769</v>
      </c>
      <c r="C6" s="19" t="s">
        <v>547</v>
      </c>
      <c r="H6" s="177"/>
    </row>
    <row r="7" ht="15.75" customHeight="1">
      <c r="B7" s="203" t="s">
        <v>903</v>
      </c>
      <c r="C7" s="19"/>
      <c r="D7" s="19"/>
      <c r="E7" s="19"/>
      <c r="F7" s="19"/>
      <c r="G7" s="19"/>
      <c r="H7" s="169"/>
    </row>
    <row r="8" ht="15.75" customHeight="1">
      <c r="B8" s="167" t="s">
        <v>904</v>
      </c>
      <c r="C8" s="19" t="s">
        <v>905</v>
      </c>
      <c r="D8" s="19" t="s">
        <v>906</v>
      </c>
      <c r="H8" s="177"/>
    </row>
    <row r="9" ht="15.75" customHeight="1">
      <c r="B9" s="167"/>
      <c r="H9" s="177"/>
    </row>
    <row r="10" ht="15.75" customHeight="1">
      <c r="B10" s="286" t="s">
        <v>907</v>
      </c>
      <c r="C10" s="43"/>
      <c r="D10" s="19"/>
      <c r="E10" s="19"/>
      <c r="F10" s="19"/>
      <c r="G10" s="19"/>
      <c r="H10" s="287"/>
    </row>
    <row r="11" ht="15.75" customHeight="1">
      <c r="B11" s="270" t="s">
        <v>890</v>
      </c>
      <c r="C11" s="43" t="s">
        <v>891</v>
      </c>
      <c r="D11" s="19" t="s">
        <v>786</v>
      </c>
      <c r="E11" s="19" t="s">
        <v>908</v>
      </c>
      <c r="F11" s="19" t="s">
        <v>909</v>
      </c>
      <c r="G11" s="19" t="s">
        <v>910</v>
      </c>
      <c r="H11" s="177"/>
    </row>
    <row r="12" ht="15.75" customHeight="1">
      <c r="B12" s="284"/>
      <c r="C12" s="19"/>
      <c r="D12" s="19"/>
      <c r="H12" s="177"/>
      <c r="I12" s="19"/>
    </row>
    <row r="13" ht="15.75" customHeight="1">
      <c r="B13" s="203" t="s">
        <v>911</v>
      </c>
      <c r="C13" s="43"/>
      <c r="H13" s="177"/>
      <c r="I13" s="19"/>
    </row>
    <row r="14" ht="15.75" customHeight="1">
      <c r="B14" s="270" t="s">
        <v>148</v>
      </c>
      <c r="C14" s="19" t="s">
        <v>869</v>
      </c>
      <c r="D14" s="19" t="s">
        <v>912</v>
      </c>
      <c r="H14" s="177"/>
      <c r="I14" s="19"/>
    </row>
    <row r="15" ht="15.75" customHeight="1">
      <c r="B15" s="167" t="s">
        <v>804</v>
      </c>
      <c r="H15" s="177"/>
    </row>
    <row r="16" ht="15.75" customHeight="1">
      <c r="B16" s="225"/>
      <c r="C16" s="226"/>
      <c r="D16" s="226"/>
      <c r="E16" s="226"/>
      <c r="F16" s="226"/>
      <c r="G16" s="227" t="s">
        <v>235</v>
      </c>
      <c r="H16" s="227" t="s">
        <v>237</v>
      </c>
    </row>
    <row r="17" ht="15.75" customHeight="1">
      <c r="B17" s="200"/>
      <c r="G17" s="177"/>
    </row>
    <row r="18" ht="15.75" customHeight="1">
      <c r="B18" s="277" t="s">
        <v>913</v>
      </c>
      <c r="C18" s="180"/>
      <c r="D18" s="180"/>
      <c r="E18" s="180"/>
      <c r="F18" s="180"/>
      <c r="G18" s="222"/>
    </row>
    <row r="19" ht="15.75" customHeight="1">
      <c r="B19" s="181" t="s">
        <v>1</v>
      </c>
      <c r="C19" s="181" t="s">
        <v>131</v>
      </c>
      <c r="D19" s="181" t="s">
        <v>543</v>
      </c>
      <c r="E19" s="181" t="s">
        <v>612</v>
      </c>
      <c r="F19" s="181" t="s">
        <v>167</v>
      </c>
      <c r="G19" s="181" t="s">
        <v>168</v>
      </c>
      <c r="J19" s="19" t="s">
        <v>914</v>
      </c>
      <c r="K19" s="19" t="s">
        <v>910</v>
      </c>
    </row>
    <row r="20" ht="15.75" customHeight="1">
      <c r="B20" s="183"/>
      <c r="C20" s="183"/>
      <c r="D20" s="183"/>
      <c r="E20" s="183"/>
      <c r="F20" s="183"/>
      <c r="G20" s="183"/>
      <c r="J20" s="19"/>
      <c r="K20" s="19"/>
    </row>
    <row r="21" ht="15.75" customHeight="1">
      <c r="B21" s="183"/>
      <c r="C21" s="183"/>
      <c r="D21" s="183"/>
      <c r="E21" s="183"/>
      <c r="F21" s="183"/>
      <c r="G21" s="183"/>
    </row>
    <row r="22" ht="15.75" customHeight="1">
      <c r="B22" s="183"/>
      <c r="C22" s="183"/>
      <c r="D22" s="183"/>
      <c r="E22" s="183"/>
      <c r="F22" s="183"/>
      <c r="G22" s="183"/>
      <c r="I22" s="19" t="s">
        <v>869</v>
      </c>
      <c r="J22" s="19" t="s">
        <v>912</v>
      </c>
      <c r="K22" s="287" t="s">
        <v>148</v>
      </c>
      <c r="N22" s="16">
        <f>31*27000</f>
        <v>837000</v>
      </c>
    </row>
    <row r="23" ht="15.75" customHeight="1">
      <c r="B23" s="183"/>
      <c r="C23" s="183"/>
      <c r="D23" s="183"/>
      <c r="E23" s="183"/>
      <c r="F23" s="183"/>
      <c r="G23" s="183"/>
      <c r="K23" s="169" t="s">
        <v>804</v>
      </c>
    </row>
    <row r="24" ht="15.75" customHeight="1">
      <c r="B24" s="183"/>
      <c r="C24" s="183"/>
      <c r="D24" s="183"/>
      <c r="E24" s="183"/>
      <c r="F24" s="183"/>
      <c r="G24" s="183"/>
      <c r="K24" s="177"/>
    </row>
    <row r="25" ht="15.75" customHeight="1">
      <c r="B25" s="183"/>
      <c r="C25" s="183"/>
      <c r="D25" s="183"/>
      <c r="E25" s="183"/>
      <c r="F25" s="183"/>
      <c r="G25" s="183"/>
    </row>
    <row r="26" ht="15.75" customHeight="1">
      <c r="B26" s="183"/>
      <c r="C26" s="183"/>
      <c r="D26" s="183"/>
      <c r="E26" s="183"/>
      <c r="F26" s="183"/>
      <c r="G26" s="183"/>
    </row>
    <row r="27" ht="15.75" customHeight="1"/>
    <row r="28">
      <c r="A28" s="40">
        <v>2.0</v>
      </c>
      <c r="B28" s="40" t="s">
        <v>860</v>
      </c>
    </row>
    <row r="29">
      <c r="B29" s="179" t="s">
        <v>539</v>
      </c>
      <c r="C29" s="180"/>
      <c r="D29" s="180"/>
      <c r="E29" s="180"/>
      <c r="F29" s="180"/>
      <c r="G29" s="180"/>
      <c r="H29" s="180"/>
      <c r="I29" s="180"/>
      <c r="J29" s="180"/>
      <c r="K29" s="180"/>
      <c r="L29" s="180"/>
    </row>
    <row r="30">
      <c r="A30" s="42"/>
      <c r="B30" s="181" t="s">
        <v>1</v>
      </c>
      <c r="C30" s="181"/>
      <c r="D30" s="181"/>
      <c r="E30" s="181"/>
      <c r="F30" s="181"/>
      <c r="G30" s="181"/>
      <c r="H30" s="181"/>
      <c r="I30" s="181"/>
      <c r="J30" s="181"/>
      <c r="K30" s="181"/>
      <c r="L30" s="181"/>
    </row>
    <row r="31">
      <c r="A31" s="42"/>
      <c r="B31" s="182"/>
      <c r="C31" s="182"/>
      <c r="D31" s="182"/>
      <c r="E31" s="182"/>
      <c r="F31" s="182"/>
      <c r="G31" s="182"/>
      <c r="H31" s="182"/>
      <c r="I31" s="182"/>
      <c r="J31" s="182"/>
      <c r="K31" s="182"/>
      <c r="L31" s="182"/>
    </row>
    <row r="32" ht="15.75" customHeight="1">
      <c r="B32" s="182"/>
      <c r="C32" s="182"/>
      <c r="D32" s="182"/>
      <c r="E32" s="182"/>
      <c r="F32" s="182"/>
      <c r="G32" s="182"/>
      <c r="H32" s="182"/>
      <c r="I32" s="182"/>
      <c r="J32" s="182"/>
      <c r="K32" s="182"/>
      <c r="L32" s="182"/>
    </row>
    <row r="33" ht="15.75" customHeight="1">
      <c r="B33" s="182"/>
      <c r="C33" s="182"/>
      <c r="D33" s="182"/>
      <c r="E33" s="182"/>
      <c r="F33" s="182"/>
      <c r="G33" s="182"/>
      <c r="H33" s="182"/>
      <c r="I33" s="182"/>
      <c r="J33" s="182"/>
      <c r="K33" s="182"/>
      <c r="L33" s="182"/>
    </row>
    <row r="34" ht="15.75" customHeight="1">
      <c r="B34" s="181"/>
      <c r="C34" s="183"/>
      <c r="D34" s="184"/>
      <c r="E34" s="184"/>
      <c r="F34" s="184"/>
      <c r="G34" s="184"/>
      <c r="H34" s="184"/>
      <c r="I34" s="184"/>
      <c r="J34" s="184"/>
      <c r="K34" s="184"/>
      <c r="L34" s="184"/>
    </row>
    <row r="35" ht="15.75" customHeight="1"/>
    <row r="36" ht="15.75" customHeight="1"/>
    <row r="37" ht="15.75" customHeight="1">
      <c r="A37" s="40">
        <v>3.0</v>
      </c>
      <c r="B37" s="39" t="s">
        <v>129</v>
      </c>
    </row>
    <row r="38" ht="15.75" customHeight="1"/>
    <row r="39" ht="15.75" customHeight="1">
      <c r="B39" s="46" t="s">
        <v>1</v>
      </c>
      <c r="C39" s="47" t="s">
        <v>130</v>
      </c>
      <c r="D39" s="47" t="s">
        <v>131</v>
      </c>
      <c r="E39" s="47" t="s">
        <v>7</v>
      </c>
    </row>
    <row r="40" ht="15.75" customHeight="1">
      <c r="B40" s="48">
        <v>1.0</v>
      </c>
      <c r="C40" s="48" t="s">
        <v>132</v>
      </c>
      <c r="D40" s="51"/>
      <c r="E40" s="48"/>
    </row>
    <row r="41" ht="15.75" customHeight="1">
      <c r="B41" s="48">
        <v>2.0</v>
      </c>
      <c r="C41" s="52" t="s">
        <v>310</v>
      </c>
      <c r="D41" s="51"/>
      <c r="E41" s="48"/>
    </row>
    <row r="42" ht="15.75" customHeight="1">
      <c r="B42" s="48">
        <v>3.0</v>
      </c>
      <c r="C42" s="48" t="s">
        <v>263</v>
      </c>
      <c r="D42" s="51"/>
      <c r="E42" s="48"/>
    </row>
    <row r="43" ht="15.75" customHeight="1">
      <c r="B43" s="48">
        <v>4.0</v>
      </c>
      <c r="C43" s="52" t="s">
        <v>557</v>
      </c>
      <c r="D43" s="51"/>
      <c r="E43" s="105"/>
    </row>
    <row r="44" ht="15.75" customHeight="1">
      <c r="B44" s="48">
        <v>5.0</v>
      </c>
      <c r="C44" s="48" t="s">
        <v>265</v>
      </c>
      <c r="D44" s="51"/>
      <c r="E44" s="48"/>
    </row>
    <row r="45" ht="15.75" customHeight="1">
      <c r="B45" s="48">
        <v>6.0</v>
      </c>
      <c r="C45" s="48" t="s">
        <v>267</v>
      </c>
      <c r="D45" s="51"/>
      <c r="E45" s="48"/>
    </row>
    <row r="46" ht="15.75" customHeight="1">
      <c r="B46" s="48">
        <v>7.0</v>
      </c>
      <c r="C46" s="48" t="s">
        <v>235</v>
      </c>
      <c r="D46" s="51"/>
      <c r="E46" s="48"/>
    </row>
    <row r="47" ht="15.75" customHeight="1">
      <c r="B47" s="48">
        <v>8.0</v>
      </c>
      <c r="C47" s="48" t="s">
        <v>270</v>
      </c>
      <c r="D47" s="51"/>
      <c r="E47" s="48"/>
    </row>
    <row r="48" ht="15.75" customHeight="1">
      <c r="B48" s="48">
        <v>9.0</v>
      </c>
      <c r="C48" s="52" t="s">
        <v>237</v>
      </c>
      <c r="D48" s="51"/>
      <c r="E48" s="48"/>
    </row>
    <row r="49" ht="15.75" customHeight="1">
      <c r="B49" s="48">
        <v>10.0</v>
      </c>
      <c r="C49" s="52" t="s">
        <v>327</v>
      </c>
      <c r="D49" s="51"/>
      <c r="E49" s="109"/>
    </row>
    <row r="50" ht="15.75" customHeight="1">
      <c r="B50" s="48">
        <v>11.0</v>
      </c>
      <c r="C50" s="48" t="s">
        <v>258</v>
      </c>
      <c r="D50" s="51"/>
      <c r="E50" s="48"/>
    </row>
    <row r="51" ht="15.75" customHeight="1">
      <c r="B51" s="48">
        <v>12.0</v>
      </c>
      <c r="D51" s="51"/>
      <c r="E51" s="48"/>
    </row>
    <row r="52" ht="15.75" customHeight="1">
      <c r="B52" s="48">
        <v>13.0</v>
      </c>
      <c r="D52" s="51"/>
      <c r="E52" s="48"/>
    </row>
    <row r="53" ht="15.75" customHeight="1">
      <c r="B53" s="48"/>
      <c r="C53" s="52"/>
      <c r="D53" s="51"/>
      <c r="E53" s="48"/>
    </row>
    <row r="54" ht="15.75" customHeight="1">
      <c r="B54" s="52"/>
      <c r="C54" s="52"/>
      <c r="D54" s="51"/>
      <c r="E54" s="48"/>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dataValidations>
    <dataValidation type="list" allowBlank="1" showErrorMessage="1" sqref="B12:C12">
      <formula1>"Nhân viên,Đối tác,Nhận hộ"</formula1>
    </dataValidation>
    <dataValidation type="list" allowBlank="1" showErrorMessage="1" sqref="B9 D12">
      <formula1>"Nhân viên (Quản lý hồi ứng),Đối tác để (ql công nợ)"</formula1>
    </dataValidation>
    <dataValidation type="list" allowBlank="1" showErrorMessage="1" sqref="B15 K23">
      <formula1>"Lưu tạm,Hoàn tất,Hủy"</formula1>
    </dataValidation>
  </dataValidations>
  <printOptions/>
  <pageMargins bottom="0.75" footer="0.0" header="0.0" left="0.7" right="0.7" top="0.75"/>
  <pageSetup orientation="landscape"/>
  <drawing r:id="rId2"/>
  <legacyDrawing r:id="rId3"/>
  <tableParts count="1">
    <tablePart r:id="rId5"/>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4.86"/>
    <col customWidth="1" min="3" max="3" width="25.43"/>
    <col customWidth="1" min="4" max="4" width="27.57"/>
    <col customWidth="1" min="5" max="6" width="29.57"/>
    <col customWidth="1" min="7" max="7" width="32.57"/>
    <col customWidth="1" min="8" max="8" width="21.86"/>
    <col customWidth="1" min="9" max="9" width="18.57"/>
    <col customWidth="1" min="10" max="10" width="21.57"/>
    <col customWidth="1" min="11" max="11" width="19.14"/>
    <col customWidth="1" min="12" max="12" width="16.43"/>
  </cols>
  <sheetData>
    <row r="2" ht="15.75" customHeight="1">
      <c r="A2" s="41">
        <v>1.0</v>
      </c>
      <c r="B2" s="40" t="s">
        <v>898</v>
      </c>
    </row>
    <row r="3" ht="15.75" customHeight="1">
      <c r="B3" s="209" t="s">
        <v>899</v>
      </c>
      <c r="C3" s="210"/>
      <c r="D3" s="210"/>
      <c r="E3" s="210"/>
      <c r="F3" s="210"/>
      <c r="G3" s="210"/>
      <c r="H3" s="211"/>
    </row>
    <row r="4" ht="15.75" customHeight="1">
      <c r="B4" s="203" t="s">
        <v>572</v>
      </c>
      <c r="C4" s="19"/>
      <c r="D4" s="19"/>
      <c r="E4" s="19"/>
      <c r="F4" s="19"/>
      <c r="G4" s="19"/>
      <c r="H4" s="177"/>
    </row>
    <row r="5" ht="15.75" customHeight="1">
      <c r="B5" s="167" t="s">
        <v>762</v>
      </c>
      <c r="C5" s="19" t="s">
        <v>915</v>
      </c>
      <c r="D5" s="19" t="s">
        <v>916</v>
      </c>
      <c r="E5" s="19" t="s">
        <v>917</v>
      </c>
      <c r="F5" s="19" t="s">
        <v>918</v>
      </c>
      <c r="H5" s="177"/>
    </row>
    <row r="6" ht="15.75" customHeight="1">
      <c r="B6" s="167" t="s">
        <v>769</v>
      </c>
      <c r="C6" s="19" t="s">
        <v>547</v>
      </c>
      <c r="E6" s="19">
        <v>3000000.0</v>
      </c>
      <c r="H6" s="177"/>
    </row>
    <row r="7" ht="15.75" customHeight="1">
      <c r="B7" s="19" t="s">
        <v>919</v>
      </c>
      <c r="C7" s="19" t="s">
        <v>920</v>
      </c>
      <c r="D7" s="19" t="s">
        <v>921</v>
      </c>
      <c r="E7" s="19" t="s">
        <v>922</v>
      </c>
      <c r="F7" s="19" t="s">
        <v>923</v>
      </c>
      <c r="G7" s="19" t="s">
        <v>7</v>
      </c>
      <c r="H7" s="169"/>
    </row>
    <row r="8" ht="15.75" customHeight="1">
      <c r="B8" s="203"/>
      <c r="C8" s="19"/>
      <c r="D8" s="19">
        <v>5000000.0</v>
      </c>
      <c r="E8" s="19">
        <v>200000.0</v>
      </c>
      <c r="F8" s="19">
        <f>D8-(E6+E8)</f>
        <v>1800000</v>
      </c>
      <c r="G8" s="19" t="s">
        <v>924</v>
      </c>
      <c r="H8" s="169"/>
    </row>
    <row r="9" ht="15.75" customHeight="1">
      <c r="B9" s="203" t="s">
        <v>903</v>
      </c>
      <c r="C9" s="19"/>
      <c r="D9" s="19"/>
      <c r="E9" s="19"/>
      <c r="F9" s="19"/>
      <c r="G9" s="19"/>
      <c r="H9" s="169"/>
    </row>
    <row r="10" ht="15.75" customHeight="1">
      <c r="B10" s="167" t="s">
        <v>904</v>
      </c>
      <c r="C10" s="19" t="s">
        <v>905</v>
      </c>
      <c r="D10" s="19" t="s">
        <v>906</v>
      </c>
      <c r="H10" s="177"/>
    </row>
    <row r="11" ht="15.75" customHeight="1">
      <c r="B11" s="167"/>
      <c r="H11" s="177"/>
    </row>
    <row r="12" ht="15.75" customHeight="1">
      <c r="B12" s="286" t="s">
        <v>907</v>
      </c>
      <c r="C12" s="43"/>
      <c r="D12" s="19"/>
      <c r="E12" s="19"/>
      <c r="F12" s="19"/>
      <c r="G12" s="19"/>
      <c r="H12" s="287"/>
    </row>
    <row r="13" ht="15.75" customHeight="1">
      <c r="B13" s="270" t="s">
        <v>890</v>
      </c>
      <c r="C13" s="43" t="s">
        <v>891</v>
      </c>
      <c r="D13" s="19" t="s">
        <v>925</v>
      </c>
      <c r="E13" s="19" t="s">
        <v>908</v>
      </c>
      <c r="F13" s="19" t="s">
        <v>909</v>
      </c>
      <c r="G13" s="19" t="s">
        <v>910</v>
      </c>
      <c r="H13" s="177"/>
      <c r="J13" s="19" t="s">
        <v>908</v>
      </c>
    </row>
    <row r="14" ht="15.75" customHeight="1">
      <c r="B14" s="284"/>
      <c r="C14" s="19"/>
      <c r="D14" s="19"/>
      <c r="H14" s="177"/>
      <c r="I14" s="19"/>
    </row>
    <row r="15" ht="15.75" customHeight="1">
      <c r="B15" s="203" t="s">
        <v>911</v>
      </c>
      <c r="C15" s="43"/>
      <c r="H15" s="177"/>
      <c r="I15" s="19"/>
    </row>
    <row r="16" ht="15.75" customHeight="1">
      <c r="B16" s="270" t="s">
        <v>148</v>
      </c>
      <c r="C16" s="19" t="s">
        <v>869</v>
      </c>
      <c r="D16" s="19" t="s">
        <v>926</v>
      </c>
      <c r="E16" s="19" t="s">
        <v>912</v>
      </c>
      <c r="H16" s="177"/>
      <c r="I16" s="19"/>
    </row>
    <row r="17" ht="15.75" customHeight="1">
      <c r="B17" s="167" t="s">
        <v>804</v>
      </c>
      <c r="H17" s="177"/>
    </row>
    <row r="18" ht="15.75" customHeight="1">
      <c r="B18" s="225"/>
      <c r="C18" s="226"/>
      <c r="D18" s="226"/>
      <c r="E18" s="226"/>
      <c r="F18" s="226"/>
      <c r="G18" s="227" t="s">
        <v>235</v>
      </c>
      <c r="H18" s="227" t="s">
        <v>237</v>
      </c>
    </row>
    <row r="19" ht="15.75" customHeight="1">
      <c r="B19" s="200"/>
      <c r="G19" s="177"/>
    </row>
    <row r="20" ht="15.75" customHeight="1">
      <c r="B20" s="277" t="s">
        <v>913</v>
      </c>
      <c r="C20" s="180"/>
      <c r="D20" s="180"/>
      <c r="E20" s="180"/>
      <c r="F20" s="180"/>
      <c r="G20" s="222"/>
    </row>
    <row r="21" ht="15.75" customHeight="1">
      <c r="B21" s="181" t="s">
        <v>1</v>
      </c>
      <c r="C21" s="181" t="s">
        <v>131</v>
      </c>
      <c r="D21" s="181" t="s">
        <v>543</v>
      </c>
      <c r="E21" s="181" t="s">
        <v>612</v>
      </c>
      <c r="F21" s="181" t="s">
        <v>167</v>
      </c>
      <c r="G21" s="181" t="s">
        <v>168</v>
      </c>
      <c r="J21" s="19" t="s">
        <v>914</v>
      </c>
      <c r="K21" s="19" t="s">
        <v>910</v>
      </c>
    </row>
    <row r="22" ht="15.75" customHeight="1">
      <c r="B22" s="183"/>
      <c r="C22" s="183"/>
      <c r="D22" s="183"/>
      <c r="E22" s="183"/>
      <c r="F22" s="183"/>
      <c r="G22" s="183"/>
      <c r="J22" s="19"/>
      <c r="K22" s="19"/>
    </row>
    <row r="23" ht="15.75" customHeight="1">
      <c r="B23" s="183"/>
      <c r="C23" s="183"/>
      <c r="D23" s="183"/>
      <c r="E23" s="183"/>
      <c r="F23" s="183"/>
      <c r="G23" s="183"/>
    </row>
    <row r="24" ht="15.75" customHeight="1">
      <c r="B24" s="183"/>
      <c r="C24" s="183"/>
      <c r="D24" s="183"/>
      <c r="E24" s="183"/>
      <c r="F24" s="183"/>
      <c r="G24" s="183"/>
      <c r="I24" s="19" t="s">
        <v>869</v>
      </c>
      <c r="J24" s="19" t="s">
        <v>912</v>
      </c>
      <c r="K24" s="287" t="s">
        <v>148</v>
      </c>
    </row>
    <row r="25" ht="15.75" customHeight="1">
      <c r="B25" s="183"/>
      <c r="C25" s="183"/>
      <c r="D25" s="183"/>
      <c r="E25" s="183"/>
      <c r="F25" s="183"/>
      <c r="G25" s="183"/>
      <c r="K25" s="169" t="s">
        <v>804</v>
      </c>
    </row>
    <row r="26" ht="15.75" customHeight="1">
      <c r="B26" s="183"/>
      <c r="C26" s="183"/>
      <c r="D26" s="183"/>
      <c r="E26" s="183"/>
      <c r="F26" s="183"/>
      <c r="G26" s="183"/>
      <c r="K26" s="177"/>
    </row>
    <row r="27" ht="15.75" customHeight="1">
      <c r="B27" s="183"/>
      <c r="C27" s="183"/>
      <c r="D27" s="183"/>
      <c r="E27" s="183"/>
      <c r="F27" s="183"/>
      <c r="G27" s="183"/>
    </row>
    <row r="28" ht="15.75" customHeight="1">
      <c r="B28" s="183"/>
      <c r="C28" s="183"/>
      <c r="D28" s="183"/>
      <c r="E28" s="183"/>
      <c r="F28" s="183"/>
      <c r="G28" s="183"/>
    </row>
    <row r="29" ht="15.75" customHeight="1"/>
    <row r="30">
      <c r="A30" s="40">
        <v>2.0</v>
      </c>
      <c r="B30" s="40" t="s">
        <v>860</v>
      </c>
    </row>
    <row r="31">
      <c r="B31" s="179" t="s">
        <v>539</v>
      </c>
      <c r="C31" s="180"/>
      <c r="D31" s="180"/>
      <c r="E31" s="180"/>
      <c r="F31" s="180"/>
      <c r="G31" s="180"/>
      <c r="H31" s="180"/>
      <c r="I31" s="180"/>
      <c r="J31" s="180"/>
      <c r="K31" s="180"/>
      <c r="L31" s="180"/>
    </row>
    <row r="32">
      <c r="A32" s="42"/>
      <c r="B32" s="181" t="s">
        <v>1</v>
      </c>
      <c r="C32" s="181"/>
      <c r="D32" s="181"/>
      <c r="E32" s="181"/>
      <c r="F32" s="181"/>
      <c r="G32" s="181"/>
      <c r="H32" s="181"/>
      <c r="I32" s="181"/>
      <c r="J32" s="181"/>
      <c r="K32" s="181"/>
      <c r="L32" s="181"/>
    </row>
    <row r="33">
      <c r="A33" s="42"/>
      <c r="B33" s="182"/>
      <c r="C33" s="182"/>
      <c r="D33" s="182"/>
      <c r="E33" s="182"/>
      <c r="F33" s="182"/>
      <c r="G33" s="182"/>
      <c r="H33" s="182"/>
      <c r="I33" s="182"/>
      <c r="J33" s="182"/>
      <c r="K33" s="182"/>
      <c r="L33" s="182"/>
    </row>
    <row r="34" ht="15.75" customHeight="1">
      <c r="B34" s="182"/>
      <c r="C34" s="182"/>
      <c r="D34" s="182"/>
      <c r="E34" s="182"/>
      <c r="F34" s="182"/>
      <c r="G34" s="182"/>
      <c r="H34" s="182"/>
      <c r="I34" s="182"/>
      <c r="J34" s="182"/>
      <c r="K34" s="182"/>
      <c r="L34" s="182"/>
    </row>
    <row r="35" ht="15.75" customHeight="1">
      <c r="B35" s="182"/>
      <c r="C35" s="182"/>
      <c r="D35" s="182"/>
      <c r="E35" s="182"/>
      <c r="F35" s="182"/>
      <c r="G35" s="182"/>
      <c r="H35" s="182"/>
      <c r="I35" s="182"/>
      <c r="J35" s="182"/>
      <c r="K35" s="182"/>
      <c r="L35" s="182"/>
    </row>
    <row r="36" ht="15.75" customHeight="1">
      <c r="B36" s="181"/>
      <c r="C36" s="183"/>
      <c r="D36" s="184"/>
      <c r="E36" s="184"/>
      <c r="F36" s="184"/>
      <c r="G36" s="184"/>
      <c r="H36" s="184"/>
      <c r="I36" s="184"/>
      <c r="J36" s="184"/>
      <c r="K36" s="184"/>
      <c r="L36" s="184"/>
    </row>
    <row r="37" ht="15.75" customHeight="1"/>
    <row r="38" ht="15.75" customHeight="1"/>
    <row r="39" ht="15.75" customHeight="1">
      <c r="A39" s="40">
        <v>3.0</v>
      </c>
      <c r="B39" s="39" t="s">
        <v>129</v>
      </c>
    </row>
    <row r="40" ht="15.75" customHeight="1"/>
    <row r="41" ht="15.75" customHeight="1">
      <c r="B41" s="46" t="s">
        <v>1</v>
      </c>
      <c r="C41" s="47" t="s">
        <v>130</v>
      </c>
      <c r="D41" s="47" t="s">
        <v>131</v>
      </c>
      <c r="E41" s="47" t="s">
        <v>7</v>
      </c>
    </row>
    <row r="42" ht="15.75" customHeight="1">
      <c r="B42" s="48">
        <v>1.0</v>
      </c>
      <c r="C42" s="48" t="s">
        <v>132</v>
      </c>
      <c r="D42" s="51"/>
      <c r="E42" s="48"/>
    </row>
    <row r="43" ht="15.75" customHeight="1">
      <c r="B43" s="48">
        <v>2.0</v>
      </c>
      <c r="C43" s="52" t="s">
        <v>310</v>
      </c>
      <c r="D43" s="51"/>
      <c r="E43" s="48"/>
    </row>
    <row r="44" ht="15.75" customHeight="1">
      <c r="B44" s="48">
        <v>3.0</v>
      </c>
      <c r="C44" s="48" t="s">
        <v>263</v>
      </c>
      <c r="D44" s="51"/>
      <c r="E44" s="48"/>
    </row>
    <row r="45" ht="15.75" customHeight="1">
      <c r="B45" s="48">
        <v>4.0</v>
      </c>
      <c r="C45" s="52" t="s">
        <v>557</v>
      </c>
      <c r="D45" s="51"/>
      <c r="E45" s="105"/>
    </row>
    <row r="46" ht="15.75" customHeight="1">
      <c r="B46" s="48">
        <v>5.0</v>
      </c>
      <c r="C46" s="48" t="s">
        <v>265</v>
      </c>
      <c r="D46" s="51"/>
      <c r="E46" s="48"/>
    </row>
    <row r="47" ht="15.75" customHeight="1">
      <c r="B47" s="48">
        <v>6.0</v>
      </c>
      <c r="C47" s="48" t="s">
        <v>267</v>
      </c>
      <c r="D47" s="51"/>
      <c r="E47" s="48"/>
    </row>
    <row r="48" ht="15.75" customHeight="1">
      <c r="B48" s="48">
        <v>7.0</v>
      </c>
      <c r="C48" s="48" t="s">
        <v>235</v>
      </c>
      <c r="D48" s="51"/>
      <c r="E48" s="48"/>
    </row>
    <row r="49" ht="15.75" customHeight="1">
      <c r="B49" s="48">
        <v>8.0</v>
      </c>
      <c r="C49" s="48" t="s">
        <v>270</v>
      </c>
      <c r="D49" s="51"/>
      <c r="E49" s="48"/>
    </row>
    <row r="50" ht="15.75" customHeight="1">
      <c r="B50" s="48">
        <v>9.0</v>
      </c>
      <c r="C50" s="52" t="s">
        <v>237</v>
      </c>
      <c r="D50" s="51"/>
      <c r="E50" s="48"/>
    </row>
    <row r="51" ht="15.75" customHeight="1">
      <c r="B51" s="48">
        <v>10.0</v>
      </c>
      <c r="C51" s="52" t="s">
        <v>327</v>
      </c>
      <c r="D51" s="51"/>
      <c r="E51" s="109"/>
    </row>
    <row r="52" ht="15.75" customHeight="1">
      <c r="B52" s="48">
        <v>11.0</v>
      </c>
      <c r="C52" s="48" t="s">
        <v>258</v>
      </c>
      <c r="D52" s="51"/>
      <c r="E52" s="48"/>
    </row>
    <row r="53" ht="15.75" customHeight="1">
      <c r="B53" s="48">
        <v>12.0</v>
      </c>
      <c r="D53" s="51"/>
      <c r="E53" s="48"/>
    </row>
    <row r="54" ht="15.75" customHeight="1">
      <c r="B54" s="48">
        <v>13.0</v>
      </c>
      <c r="D54" s="51"/>
      <c r="E54" s="48"/>
    </row>
    <row r="55" ht="15.75" customHeight="1">
      <c r="B55" s="48"/>
      <c r="C55" s="52"/>
      <c r="D55" s="51"/>
      <c r="E55" s="48"/>
    </row>
    <row r="56" ht="15.75" customHeight="1">
      <c r="B56" s="52"/>
      <c r="C56" s="52"/>
      <c r="D56" s="51"/>
      <c r="E56" s="48"/>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sheetData>
  <dataValidations>
    <dataValidation type="list" allowBlank="1" showErrorMessage="1" sqref="B14:C14">
      <formula1>"Nhân viên,Đối tác,Nhận hộ"</formula1>
    </dataValidation>
    <dataValidation type="list" allowBlank="1" showErrorMessage="1" sqref="B11 D14">
      <formula1>"Nhân viên (Quản lý hồi ứng),Đối tác để (ql công nợ)"</formula1>
    </dataValidation>
    <dataValidation type="list" allowBlank="1" showErrorMessage="1" sqref="B17 K25">
      <formula1>"Lưu tạm,Hoàn tất,Hủy"</formula1>
    </dataValidation>
  </dataValidations>
  <printOptions/>
  <pageMargins bottom="0.75" footer="0.0" header="0.0" left="0.7" right="0.7" top="0.75"/>
  <pageSetup orientation="landscape"/>
  <drawing r:id="rId2"/>
  <legacyDrawing r:id="rId3"/>
  <tableParts count="1">
    <tablePart r:id="rId5"/>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4.86"/>
    <col customWidth="1" min="3" max="3" width="25.43"/>
    <col customWidth="1" min="4" max="4" width="27.57"/>
    <col customWidth="1" min="5" max="6" width="29.57"/>
    <col customWidth="1" min="7" max="7" width="32.57"/>
    <col customWidth="1" min="8" max="8" width="21.86"/>
    <col customWidth="1" min="9" max="9" width="18.57"/>
    <col customWidth="1" min="10" max="10" width="21.57"/>
    <col customWidth="1" min="11" max="11" width="19.14"/>
    <col customWidth="1" min="12" max="12" width="16.43"/>
  </cols>
  <sheetData>
    <row r="2" ht="15.75" customHeight="1">
      <c r="A2" s="41">
        <v>1.0</v>
      </c>
      <c r="B2" s="40" t="s">
        <v>927</v>
      </c>
    </row>
    <row r="3" ht="15.75" customHeight="1">
      <c r="B3" s="209" t="s">
        <v>928</v>
      </c>
      <c r="C3" s="210"/>
      <c r="D3" s="210"/>
      <c r="E3" s="210"/>
      <c r="F3" s="210"/>
      <c r="G3" s="210"/>
      <c r="H3" s="211"/>
    </row>
    <row r="4" ht="15.75" customHeight="1">
      <c r="B4" s="203" t="s">
        <v>929</v>
      </c>
      <c r="C4" s="19"/>
      <c r="D4" s="43"/>
      <c r="E4" s="43"/>
      <c r="F4" s="43"/>
      <c r="G4" s="43"/>
      <c r="H4" s="287"/>
    </row>
    <row r="5" ht="15.75" customHeight="1">
      <c r="B5" s="167" t="s">
        <v>762</v>
      </c>
      <c r="C5" s="19" t="s">
        <v>930</v>
      </c>
      <c r="D5" s="19" t="s">
        <v>808</v>
      </c>
      <c r="E5" s="19" t="s">
        <v>931</v>
      </c>
      <c r="F5" s="19" t="s">
        <v>932</v>
      </c>
      <c r="G5" s="19" t="s">
        <v>933</v>
      </c>
      <c r="H5" s="169" t="s">
        <v>934</v>
      </c>
    </row>
    <row r="6" ht="15.75" customHeight="1">
      <c r="B6" s="167" t="s">
        <v>769</v>
      </c>
      <c r="C6" s="19" t="s">
        <v>547</v>
      </c>
      <c r="D6" s="292"/>
      <c r="E6" s="292"/>
      <c r="F6" s="292"/>
      <c r="G6" s="292"/>
      <c r="H6" s="169"/>
    </row>
    <row r="7" ht="15.75" customHeight="1">
      <c r="B7" s="203" t="s">
        <v>935</v>
      </c>
      <c r="C7" s="43"/>
      <c r="D7" s="43"/>
      <c r="E7" s="43"/>
      <c r="F7" s="43"/>
      <c r="H7" s="169"/>
      <c r="I7" s="19"/>
    </row>
    <row r="8" ht="15.75" customHeight="1">
      <c r="B8" s="270" t="s">
        <v>588</v>
      </c>
      <c r="C8" s="19" t="s">
        <v>936</v>
      </c>
      <c r="D8" s="43" t="s">
        <v>937</v>
      </c>
      <c r="E8" s="19" t="s">
        <v>938</v>
      </c>
      <c r="F8" s="19" t="s">
        <v>939</v>
      </c>
      <c r="H8" s="177"/>
    </row>
    <row r="9" ht="15.75" customHeight="1">
      <c r="B9" s="203"/>
      <c r="C9" s="168"/>
      <c r="D9" s="43"/>
      <c r="E9" s="43"/>
      <c r="F9" s="43"/>
      <c r="H9" s="177"/>
    </row>
    <row r="10" ht="15.75" customHeight="1">
      <c r="B10" s="203" t="s">
        <v>940</v>
      </c>
      <c r="C10" s="43"/>
      <c r="D10" s="43"/>
      <c r="E10" s="43"/>
      <c r="F10" s="43"/>
      <c r="H10" s="177"/>
    </row>
    <row r="11" ht="15.75" customHeight="1">
      <c r="B11" s="167" t="s">
        <v>941</v>
      </c>
      <c r="C11" s="19" t="s">
        <v>942</v>
      </c>
      <c r="D11" s="19" t="s">
        <v>543</v>
      </c>
      <c r="E11" s="19" t="s">
        <v>943</v>
      </c>
      <c r="F11" s="19" t="s">
        <v>944</v>
      </c>
      <c r="H11" s="177"/>
    </row>
    <row r="12" ht="15.75" customHeight="1">
      <c r="B12" s="203"/>
      <c r="C12" s="292"/>
      <c r="D12" s="292"/>
      <c r="E12" s="43"/>
      <c r="F12" s="292"/>
      <c r="H12" s="177"/>
    </row>
    <row r="13" ht="15.75" customHeight="1">
      <c r="B13" s="203" t="s">
        <v>945</v>
      </c>
      <c r="C13" s="43"/>
      <c r="D13" s="43"/>
      <c r="E13" s="43"/>
      <c r="F13" s="43"/>
      <c r="H13" s="177"/>
    </row>
    <row r="14" ht="15.75" customHeight="1">
      <c r="B14" s="167" t="s">
        <v>946</v>
      </c>
      <c r="C14" s="19" t="s">
        <v>776</v>
      </c>
      <c r="D14" s="19" t="s">
        <v>947</v>
      </c>
      <c r="E14" s="19" t="s">
        <v>948</v>
      </c>
      <c r="H14" s="177"/>
    </row>
    <row r="15" ht="15.75" customHeight="1">
      <c r="B15" s="167"/>
      <c r="H15" s="177"/>
    </row>
    <row r="16" ht="15.75" customHeight="1">
      <c r="B16" s="225"/>
      <c r="C16" s="226"/>
      <c r="D16" s="226"/>
      <c r="E16" s="226"/>
      <c r="F16" s="226"/>
      <c r="G16" s="218" t="s">
        <v>235</v>
      </c>
      <c r="H16" s="227" t="s">
        <v>237</v>
      </c>
    </row>
    <row r="17" ht="15.75" customHeight="1">
      <c r="B17" s="200"/>
      <c r="G17" s="177"/>
    </row>
    <row r="18" ht="15.75" customHeight="1">
      <c r="B18" s="277" t="s">
        <v>949</v>
      </c>
      <c r="C18" s="180"/>
      <c r="D18" s="180"/>
      <c r="E18" s="180"/>
      <c r="F18" s="180"/>
      <c r="G18" s="222"/>
    </row>
    <row r="19" ht="15.75" customHeight="1">
      <c r="B19" s="181" t="s">
        <v>1</v>
      </c>
      <c r="C19" s="181" t="s">
        <v>131</v>
      </c>
      <c r="D19" s="181" t="s">
        <v>543</v>
      </c>
      <c r="E19" s="181" t="s">
        <v>612</v>
      </c>
      <c r="F19" s="181" t="s">
        <v>167</v>
      </c>
      <c r="G19" s="181" t="s">
        <v>168</v>
      </c>
    </row>
    <row r="20" ht="15.75" customHeight="1">
      <c r="B20" s="183"/>
      <c r="C20" s="183"/>
      <c r="D20" s="183"/>
      <c r="E20" s="183"/>
      <c r="F20" s="183"/>
      <c r="G20" s="183"/>
    </row>
    <row r="21" ht="15.75" customHeight="1">
      <c r="B21" s="183"/>
      <c r="C21" s="183"/>
      <c r="D21" s="183"/>
      <c r="E21" s="183"/>
      <c r="F21" s="183"/>
      <c r="G21" s="183"/>
    </row>
    <row r="22" ht="15.75" customHeight="1">
      <c r="B22" s="183"/>
      <c r="C22" s="183"/>
      <c r="D22" s="183"/>
      <c r="E22" s="183"/>
      <c r="F22" s="183"/>
      <c r="G22" s="183"/>
    </row>
    <row r="23" ht="15.75" customHeight="1">
      <c r="B23" s="183"/>
      <c r="C23" s="183"/>
      <c r="D23" s="183"/>
      <c r="E23" s="183"/>
      <c r="F23" s="183"/>
      <c r="G23" s="183"/>
    </row>
    <row r="24" ht="15.75" customHeight="1">
      <c r="B24" s="183"/>
      <c r="C24" s="183"/>
      <c r="D24" s="183"/>
      <c r="E24" s="183"/>
      <c r="F24" s="183"/>
      <c r="G24" s="183"/>
    </row>
    <row r="25" ht="15.75" customHeight="1">
      <c r="B25" s="183"/>
      <c r="C25" s="183"/>
      <c r="D25" s="183"/>
      <c r="E25" s="183"/>
      <c r="F25" s="183"/>
      <c r="G25" s="183"/>
    </row>
    <row r="26" ht="15.75" customHeight="1">
      <c r="B26" s="183"/>
      <c r="C26" s="183"/>
      <c r="D26" s="183"/>
      <c r="E26" s="183"/>
      <c r="F26" s="183"/>
      <c r="G26" s="183"/>
    </row>
    <row r="27" ht="15.75" customHeight="1"/>
    <row r="28">
      <c r="A28" s="40">
        <v>2.0</v>
      </c>
      <c r="B28" s="40" t="s">
        <v>950</v>
      </c>
    </row>
    <row r="29">
      <c r="B29" s="179" t="s">
        <v>951</v>
      </c>
      <c r="C29" s="180"/>
      <c r="D29" s="180"/>
      <c r="E29" s="180"/>
      <c r="F29" s="180"/>
      <c r="G29" s="180"/>
      <c r="H29" s="180"/>
      <c r="I29" s="180"/>
      <c r="J29" s="180"/>
      <c r="K29" s="180"/>
      <c r="L29" s="180"/>
    </row>
    <row r="30">
      <c r="A30" s="42"/>
      <c r="B30" s="181" t="s">
        <v>1</v>
      </c>
      <c r="C30" s="181"/>
      <c r="D30" s="181"/>
      <c r="E30" s="181"/>
      <c r="F30" s="181"/>
      <c r="G30" s="181"/>
      <c r="H30" s="181"/>
      <c r="I30" s="181"/>
      <c r="J30" s="181"/>
      <c r="K30" s="181"/>
      <c r="L30" s="181"/>
    </row>
    <row r="31">
      <c r="A31" s="42"/>
      <c r="B31" s="182"/>
      <c r="C31" s="182"/>
      <c r="D31" s="182"/>
      <c r="E31" s="182"/>
      <c r="F31" s="182"/>
      <c r="G31" s="182"/>
      <c r="H31" s="182"/>
      <c r="I31" s="182"/>
      <c r="J31" s="182"/>
      <c r="K31" s="182"/>
      <c r="L31" s="182"/>
    </row>
    <row r="32" ht="15.75" customHeight="1">
      <c r="B32" s="182"/>
      <c r="C32" s="182"/>
      <c r="D32" s="182"/>
      <c r="E32" s="182"/>
      <c r="F32" s="182"/>
      <c r="G32" s="182"/>
      <c r="H32" s="182"/>
      <c r="I32" s="182"/>
      <c r="J32" s="182"/>
      <c r="K32" s="182"/>
      <c r="L32" s="182"/>
    </row>
    <row r="33" ht="15.75" customHeight="1">
      <c r="B33" s="182"/>
      <c r="C33" s="182"/>
      <c r="D33" s="182"/>
      <c r="E33" s="182"/>
      <c r="F33" s="182"/>
      <c r="G33" s="182"/>
      <c r="H33" s="182"/>
      <c r="I33" s="182"/>
      <c r="J33" s="182"/>
      <c r="K33" s="182"/>
      <c r="L33" s="182"/>
    </row>
    <row r="34" ht="15.75" customHeight="1">
      <c r="B34" s="181"/>
      <c r="C34" s="183"/>
      <c r="D34" s="184"/>
      <c r="E34" s="184"/>
      <c r="F34" s="184"/>
      <c r="G34" s="184"/>
      <c r="H34" s="184"/>
      <c r="I34" s="184"/>
      <c r="J34" s="184"/>
      <c r="K34" s="184"/>
      <c r="L34" s="184"/>
    </row>
    <row r="35" ht="15.75" customHeight="1"/>
    <row r="36" ht="15.75" customHeight="1"/>
    <row r="37" ht="15.75" customHeight="1">
      <c r="A37" s="40">
        <v>3.0</v>
      </c>
      <c r="B37" s="39" t="s">
        <v>129</v>
      </c>
    </row>
    <row r="38" ht="15.75" customHeight="1"/>
    <row r="39" ht="15.75" customHeight="1">
      <c r="B39" s="46" t="s">
        <v>1</v>
      </c>
      <c r="C39" s="47" t="s">
        <v>130</v>
      </c>
      <c r="D39" s="47" t="s">
        <v>131</v>
      </c>
      <c r="E39" s="47" t="s">
        <v>7</v>
      </c>
    </row>
    <row r="40" ht="15.75" customHeight="1">
      <c r="B40" s="48">
        <v>1.0</v>
      </c>
      <c r="C40" s="48" t="s">
        <v>132</v>
      </c>
      <c r="D40" s="51"/>
      <c r="E40" s="48"/>
    </row>
    <row r="41" ht="15.75" customHeight="1">
      <c r="B41" s="48">
        <v>2.0</v>
      </c>
      <c r="C41" s="52" t="s">
        <v>310</v>
      </c>
      <c r="D41" s="51"/>
      <c r="E41" s="48"/>
    </row>
    <row r="42" ht="15.75" customHeight="1">
      <c r="B42" s="48">
        <v>3.0</v>
      </c>
      <c r="C42" s="48" t="s">
        <v>263</v>
      </c>
      <c r="D42" s="51"/>
      <c r="E42" s="48"/>
    </row>
    <row r="43" ht="15.75" customHeight="1">
      <c r="B43" s="48">
        <v>4.0</v>
      </c>
      <c r="C43" s="52" t="s">
        <v>557</v>
      </c>
      <c r="D43" s="51"/>
      <c r="E43" s="105"/>
    </row>
    <row r="44" ht="15.75" customHeight="1">
      <c r="B44" s="48">
        <v>5.0</v>
      </c>
      <c r="C44" s="48" t="s">
        <v>265</v>
      </c>
      <c r="D44" s="51"/>
      <c r="E44" s="48"/>
    </row>
    <row r="45" ht="15.75" customHeight="1">
      <c r="B45" s="48">
        <v>6.0</v>
      </c>
      <c r="C45" s="48" t="s">
        <v>267</v>
      </c>
      <c r="D45" s="51"/>
      <c r="E45" s="48"/>
    </row>
    <row r="46" ht="15.75" customHeight="1">
      <c r="B46" s="48">
        <v>7.0</v>
      </c>
      <c r="C46" s="48" t="s">
        <v>235</v>
      </c>
      <c r="D46" s="51"/>
      <c r="E46" s="48"/>
    </row>
    <row r="47" ht="15.75" customHeight="1">
      <c r="B47" s="48">
        <v>8.0</v>
      </c>
      <c r="C47" s="48" t="s">
        <v>270</v>
      </c>
      <c r="D47" s="51"/>
      <c r="E47" s="48"/>
    </row>
    <row r="48" ht="15.75" customHeight="1">
      <c r="B48" s="48">
        <v>9.0</v>
      </c>
      <c r="C48" s="52" t="s">
        <v>237</v>
      </c>
      <c r="D48" s="51"/>
      <c r="E48" s="48"/>
    </row>
    <row r="49" ht="15.75" customHeight="1">
      <c r="B49" s="48">
        <v>10.0</v>
      </c>
      <c r="C49" s="52" t="s">
        <v>327</v>
      </c>
      <c r="D49" s="51"/>
      <c r="E49" s="109"/>
    </row>
    <row r="50" ht="15.75" customHeight="1">
      <c r="B50" s="48">
        <v>11.0</v>
      </c>
      <c r="C50" s="48" t="s">
        <v>258</v>
      </c>
      <c r="D50" s="51"/>
      <c r="E50" s="48"/>
    </row>
    <row r="51" ht="15.75" customHeight="1">
      <c r="B51" s="48">
        <v>12.0</v>
      </c>
      <c r="D51" s="51"/>
      <c r="E51" s="48"/>
    </row>
    <row r="52" ht="15.75" customHeight="1">
      <c r="B52" s="48">
        <v>13.0</v>
      </c>
      <c r="D52" s="51"/>
      <c r="E52" s="48"/>
    </row>
    <row r="53" ht="15.75" customHeight="1">
      <c r="B53" s="48"/>
      <c r="C53" s="52"/>
      <c r="D53" s="51"/>
      <c r="E53" s="48"/>
    </row>
    <row r="54" ht="15.75" customHeight="1">
      <c r="B54" s="52"/>
      <c r="C54" s="52"/>
      <c r="D54" s="51"/>
      <c r="E54" s="48"/>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dataValidations>
    <dataValidation type="list" allowBlank="1" showErrorMessage="1" sqref="B9:C9 B12">
      <formula1>"Vàng nguyên liệu,Vật tư,Dịch vụ"</formula1>
    </dataValidation>
    <dataValidation type="list" allowBlank="1" showErrorMessage="1" sqref="B15">
      <formula1>"Chưa thanh toán,Thanh toán 1 phần,Đã thanh toán"</formula1>
    </dataValidation>
  </dataValidations>
  <printOptions/>
  <pageMargins bottom="0.75" footer="0.0" header="0.0" left="0.7" right="0.7" top="0.75"/>
  <pageSetup orientation="landscape"/>
  <drawing r:id="rId2"/>
  <legacyDrawing r:id="rId3"/>
  <tableParts count="1">
    <tablePart r:id="rId5"/>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27.57"/>
    <col customWidth="1" min="3" max="3" width="38.86"/>
    <col customWidth="1" min="4" max="4" width="61.0"/>
    <col customWidth="1" min="5" max="5" width="41.0"/>
    <col customWidth="1" min="6" max="6" width="9.14"/>
  </cols>
  <sheetData>
    <row r="1">
      <c r="A1" s="39">
        <v>1.0</v>
      </c>
      <c r="B1" s="40" t="s">
        <v>952</v>
      </c>
    </row>
    <row r="3">
      <c r="A3" s="93"/>
    </row>
    <row r="5">
      <c r="A5" s="94"/>
    </row>
    <row r="6">
      <c r="A6" s="95"/>
    </row>
    <row r="7">
      <c r="A7" s="95"/>
    </row>
    <row r="8">
      <c r="A8" s="95"/>
    </row>
    <row r="10">
      <c r="G10" s="96">
        <v>1.0</v>
      </c>
    </row>
    <row r="11">
      <c r="A11" s="97"/>
    </row>
    <row r="12">
      <c r="A12" s="95"/>
    </row>
    <row r="13">
      <c r="A13" s="95"/>
    </row>
    <row r="14">
      <c r="A14" s="95"/>
    </row>
    <row r="15">
      <c r="A15" s="95"/>
    </row>
    <row r="16">
      <c r="A16" s="95"/>
    </row>
    <row r="19">
      <c r="A19" s="39"/>
      <c r="B19" s="39"/>
    </row>
    <row r="20">
      <c r="A20" s="39"/>
      <c r="B20" s="39"/>
    </row>
    <row r="21">
      <c r="A21" s="39"/>
      <c r="B21" s="39"/>
    </row>
    <row r="22">
      <c r="A22" s="39"/>
      <c r="B22" s="39"/>
    </row>
    <row r="23">
      <c r="A23" s="39"/>
      <c r="B23" s="39"/>
    </row>
    <row r="24">
      <c r="A24" s="39"/>
      <c r="B24" s="39"/>
    </row>
    <row r="25">
      <c r="A25" s="42"/>
      <c r="B25" s="43"/>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c r="A49" s="39">
        <v>2.0</v>
      </c>
      <c r="B49" s="39" t="s">
        <v>129</v>
      </c>
    </row>
    <row r="50" ht="15.75" customHeight="1"/>
    <row r="51" ht="15.75" customHeight="1">
      <c r="B51" s="46" t="s">
        <v>1</v>
      </c>
      <c r="C51" s="47" t="s">
        <v>130</v>
      </c>
      <c r="D51" s="47" t="s">
        <v>131</v>
      </c>
      <c r="E51" s="47" t="s">
        <v>7</v>
      </c>
    </row>
    <row r="52" ht="15.75" customHeight="1">
      <c r="B52" s="48">
        <v>1.0</v>
      </c>
      <c r="C52" s="48" t="s">
        <v>132</v>
      </c>
      <c r="D52" s="51" t="s">
        <v>953</v>
      </c>
      <c r="E52" s="48"/>
    </row>
    <row r="53" ht="15.75" customHeight="1">
      <c r="B53" s="48">
        <v>2.0</v>
      </c>
      <c r="C53" s="52" t="s">
        <v>954</v>
      </c>
      <c r="D53" s="51" t="s">
        <v>955</v>
      </c>
      <c r="E53" s="48"/>
    </row>
    <row r="54" ht="15.75" customHeight="1">
      <c r="B54" s="48">
        <v>3.0</v>
      </c>
      <c r="C54" s="48"/>
      <c r="D54" s="51"/>
      <c r="E54" s="48"/>
    </row>
    <row r="55" ht="15.75" customHeight="1">
      <c r="B55" s="48">
        <v>4.0</v>
      </c>
      <c r="C55" s="52"/>
      <c r="D55" s="51"/>
      <c r="E55" s="48"/>
    </row>
    <row r="56" ht="15.75" customHeight="1">
      <c r="B56" s="48">
        <v>5.0</v>
      </c>
      <c r="C56" s="48" t="s">
        <v>265</v>
      </c>
      <c r="D56" s="51" t="s">
        <v>316</v>
      </c>
      <c r="E56" s="48"/>
    </row>
    <row r="57" ht="15.75" customHeight="1">
      <c r="B57" s="48">
        <v>6.0</v>
      </c>
      <c r="C57" s="48"/>
      <c r="D57" s="51"/>
      <c r="E57" s="48"/>
    </row>
    <row r="58" ht="15.75" customHeight="1">
      <c r="B58" s="48">
        <v>7.0</v>
      </c>
      <c r="C58" s="48" t="s">
        <v>235</v>
      </c>
      <c r="D58" s="51" t="s">
        <v>319</v>
      </c>
      <c r="E58" s="48"/>
    </row>
    <row r="59" ht="15.75" customHeight="1">
      <c r="B59" s="48">
        <v>8.0</v>
      </c>
      <c r="C59" s="48" t="s">
        <v>270</v>
      </c>
      <c r="D59" s="51" t="s">
        <v>956</v>
      </c>
      <c r="E59" s="48"/>
    </row>
    <row r="60" ht="15.75" customHeight="1">
      <c r="B60" s="48">
        <v>9.0</v>
      </c>
      <c r="C60" s="52" t="s">
        <v>321</v>
      </c>
      <c r="D60" s="51" t="s">
        <v>957</v>
      </c>
      <c r="E60" s="48"/>
    </row>
    <row r="61" ht="15.75" customHeight="1">
      <c r="B61" s="48">
        <v>10.0</v>
      </c>
      <c r="C61" s="48" t="s">
        <v>258</v>
      </c>
      <c r="D61" s="51" t="s">
        <v>326</v>
      </c>
      <c r="E61" s="48"/>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sheetData>
  <printOptions/>
  <pageMargins bottom="0.75" footer="0.0" header="0.0" left="0.7" right="0.7" top="0.75"/>
  <pageSetup orientation="landscape"/>
  <drawing r:id="rId1"/>
  <tableParts count="1">
    <tablePart r:id="rId3"/>
  </tableParts>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29"/>
    <col customWidth="1" min="3" max="3" width="14.29"/>
    <col customWidth="1" min="7" max="7" width="18.86"/>
    <col customWidth="1" min="9" max="9" width="18.86"/>
    <col customWidth="1" min="10" max="10" width="19.0"/>
    <col customWidth="1" min="11" max="11" width="20.71"/>
    <col customWidth="1" min="12" max="12" width="22.0"/>
    <col customWidth="1" min="13" max="13" width="22.86"/>
    <col customWidth="1" min="14" max="14" width="21.57"/>
    <col customWidth="1" min="15" max="15" width="16.29"/>
  </cols>
  <sheetData>
    <row r="1">
      <c r="A1" s="293" t="s">
        <v>958</v>
      </c>
      <c r="B1" s="112"/>
      <c r="C1" s="112"/>
      <c r="D1" s="112"/>
      <c r="E1" s="112"/>
      <c r="F1" s="112"/>
      <c r="G1" s="112"/>
      <c r="H1" s="112"/>
    </row>
    <row r="2">
      <c r="A2" s="11"/>
      <c r="B2" s="9"/>
      <c r="C2" s="294" t="s">
        <v>959</v>
      </c>
      <c r="D2" s="11" t="s">
        <v>960</v>
      </c>
      <c r="E2" s="11" t="s">
        <v>961</v>
      </c>
      <c r="F2" s="11" t="s">
        <v>962</v>
      </c>
      <c r="G2" s="9"/>
      <c r="H2" s="9"/>
      <c r="I2" s="294" t="s">
        <v>963</v>
      </c>
      <c r="J2" s="11" t="s">
        <v>964</v>
      </c>
      <c r="N2" s="9"/>
      <c r="O2" s="294" t="s">
        <v>965</v>
      </c>
      <c r="P2" s="11" t="s">
        <v>966</v>
      </c>
    </row>
    <row r="3">
      <c r="A3" s="11"/>
      <c r="B3" s="9"/>
      <c r="C3" s="11" t="s">
        <v>967</v>
      </c>
      <c r="D3" s="11" t="s">
        <v>968</v>
      </c>
      <c r="E3" s="11"/>
      <c r="F3" s="9"/>
      <c r="G3" s="9"/>
      <c r="H3" s="9"/>
      <c r="I3" s="11" t="s">
        <v>967</v>
      </c>
      <c r="J3" s="11" t="s">
        <v>968</v>
      </c>
      <c r="N3" s="9"/>
      <c r="O3" s="11" t="s">
        <v>967</v>
      </c>
      <c r="P3" s="11" t="s">
        <v>968</v>
      </c>
    </row>
    <row r="4">
      <c r="A4" s="295" t="s">
        <v>1</v>
      </c>
      <c r="B4" s="295" t="s">
        <v>23</v>
      </c>
      <c r="C4" s="295" t="s">
        <v>969</v>
      </c>
      <c r="D4" s="295" t="s">
        <v>970</v>
      </c>
      <c r="G4" s="295" t="s">
        <v>23</v>
      </c>
      <c r="H4" s="295" t="s">
        <v>24</v>
      </c>
      <c r="I4" s="295" t="s">
        <v>969</v>
      </c>
      <c r="J4" s="295" t="s">
        <v>970</v>
      </c>
      <c r="K4" s="296"/>
      <c r="L4" s="295"/>
      <c r="N4" s="295" t="s">
        <v>23</v>
      </c>
      <c r="O4" s="295" t="s">
        <v>969</v>
      </c>
      <c r="P4" s="295" t="s">
        <v>970</v>
      </c>
      <c r="Q4" s="296"/>
      <c r="R4" s="295"/>
    </row>
    <row r="5">
      <c r="B5" s="19" t="s">
        <v>971</v>
      </c>
      <c r="C5" s="19">
        <v>61.2</v>
      </c>
      <c r="D5" s="19">
        <v>62.2</v>
      </c>
      <c r="G5" s="19">
        <v>610.0</v>
      </c>
      <c r="H5" s="19" t="s">
        <v>971</v>
      </c>
      <c r="I5" s="19">
        <v>61.2</v>
      </c>
      <c r="J5" s="19">
        <v>62.2</v>
      </c>
      <c r="N5" s="19" t="s">
        <v>971</v>
      </c>
      <c r="O5" s="19">
        <v>61.2</v>
      </c>
      <c r="P5" s="19">
        <v>62.2</v>
      </c>
    </row>
    <row r="6">
      <c r="B6" s="19" t="s">
        <v>972</v>
      </c>
      <c r="C6" s="19">
        <v>61.0</v>
      </c>
      <c r="D6" s="19">
        <v>63.0</v>
      </c>
      <c r="G6" s="19">
        <v>610.0</v>
      </c>
      <c r="H6" s="19" t="s">
        <v>972</v>
      </c>
      <c r="I6" s="19">
        <v>61.0</v>
      </c>
      <c r="J6" s="19">
        <v>63.0</v>
      </c>
      <c r="N6" s="19" t="s">
        <v>972</v>
      </c>
      <c r="O6" s="19">
        <v>61.0</v>
      </c>
      <c r="P6" s="19">
        <v>63.0</v>
      </c>
    </row>
    <row r="7">
      <c r="B7" s="19" t="s">
        <v>973</v>
      </c>
      <c r="C7" s="19">
        <v>61.5</v>
      </c>
      <c r="D7" s="19">
        <v>62.5</v>
      </c>
      <c r="G7" s="19">
        <v>610.0</v>
      </c>
      <c r="H7" s="19" t="s">
        <v>973</v>
      </c>
      <c r="I7" s="19">
        <v>61.5</v>
      </c>
      <c r="J7" s="19">
        <v>62.5</v>
      </c>
      <c r="N7" s="19" t="s">
        <v>973</v>
      </c>
      <c r="O7" s="19">
        <v>61.5</v>
      </c>
      <c r="P7" s="19">
        <v>62.5</v>
      </c>
    </row>
    <row r="8">
      <c r="B8" s="19" t="s">
        <v>974</v>
      </c>
      <c r="G8" s="19">
        <v>610.0</v>
      </c>
      <c r="H8" s="19" t="s">
        <v>974</v>
      </c>
      <c r="I8" s="19">
        <v>62.2</v>
      </c>
      <c r="J8" s="19">
        <v>62.2</v>
      </c>
      <c r="N8" s="19" t="s">
        <v>974</v>
      </c>
      <c r="O8" s="19">
        <v>62.2</v>
      </c>
      <c r="P8" s="19">
        <v>62.2</v>
      </c>
    </row>
    <row r="9">
      <c r="B9" s="19">
        <v>980.0</v>
      </c>
      <c r="C9" s="19">
        <v>98.0</v>
      </c>
      <c r="D9" s="19">
        <v>98.5</v>
      </c>
    </row>
    <row r="10">
      <c r="B10" s="19">
        <v>9999.0</v>
      </c>
      <c r="C10" s="19">
        <v>99.5</v>
      </c>
      <c r="D10" s="19">
        <v>99.99</v>
      </c>
      <c r="H10" s="19" t="s">
        <v>975</v>
      </c>
    </row>
    <row r="11">
      <c r="H11" s="19" t="s">
        <v>614</v>
      </c>
      <c r="I11" s="19" t="s">
        <v>976</v>
      </c>
      <c r="J11" s="19" t="s">
        <v>977</v>
      </c>
    </row>
    <row r="12">
      <c r="H12" s="19">
        <v>100.0</v>
      </c>
      <c r="I12" s="19">
        <v>99.95</v>
      </c>
      <c r="J12" s="16">
        <f>H12-I12</f>
        <v>0.05</v>
      </c>
    </row>
    <row r="15">
      <c r="A15" s="11"/>
      <c r="B15" s="9"/>
      <c r="C15" s="294" t="s">
        <v>978</v>
      </c>
      <c r="D15" s="11" t="s">
        <v>964</v>
      </c>
      <c r="F15" s="41" t="s">
        <v>979</v>
      </c>
      <c r="G15" s="295" t="s">
        <v>23</v>
      </c>
      <c r="H15" s="295" t="s">
        <v>24</v>
      </c>
      <c r="I15" s="295" t="s">
        <v>402</v>
      </c>
      <c r="J15" s="295" t="s">
        <v>980</v>
      </c>
      <c r="K15" s="295" t="s">
        <v>404</v>
      </c>
      <c r="L15" s="295" t="s">
        <v>981</v>
      </c>
      <c r="M15" s="295" t="s">
        <v>982</v>
      </c>
    </row>
    <row r="16">
      <c r="A16" s="11"/>
      <c r="B16" s="9"/>
      <c r="C16" s="11" t="s">
        <v>967</v>
      </c>
      <c r="D16" s="11" t="s">
        <v>968</v>
      </c>
      <c r="G16" s="41">
        <v>610.0</v>
      </c>
      <c r="H16" s="19" t="s">
        <v>971</v>
      </c>
      <c r="I16" s="19">
        <v>77.972</v>
      </c>
      <c r="J16" s="19">
        <v>10.7105</v>
      </c>
      <c r="K16" s="16">
        <f t="shared" ref="K16:K18" si="1">I16-J16</f>
        <v>67.2615</v>
      </c>
      <c r="L16" s="16">
        <f>K16*61.2/100</f>
        <v>41.164038</v>
      </c>
    </row>
    <row r="17">
      <c r="A17" s="295" t="s">
        <v>1</v>
      </c>
      <c r="B17" s="295" t="s">
        <v>23</v>
      </c>
      <c r="C17" s="295" t="s">
        <v>969</v>
      </c>
      <c r="D17" s="295" t="s">
        <v>970</v>
      </c>
      <c r="G17" s="41">
        <v>610.0</v>
      </c>
      <c r="H17" s="19" t="s">
        <v>972</v>
      </c>
      <c r="I17" s="19">
        <v>32.028</v>
      </c>
      <c r="J17" s="19">
        <v>1.224</v>
      </c>
      <c r="K17" s="16">
        <f t="shared" si="1"/>
        <v>30.804</v>
      </c>
      <c r="L17" s="16">
        <f>K17*61/100</f>
        <v>18.79044</v>
      </c>
    </row>
    <row r="18">
      <c r="B18" s="19" t="s">
        <v>983</v>
      </c>
      <c r="C18" s="19">
        <v>98.5</v>
      </c>
      <c r="D18" s="19">
        <v>98.5</v>
      </c>
      <c r="G18" s="41">
        <v>610.0</v>
      </c>
      <c r="H18" s="19" t="s">
        <v>974</v>
      </c>
      <c r="I18" s="19">
        <v>1.242</v>
      </c>
      <c r="J18" s="19">
        <v>0.0</v>
      </c>
      <c r="K18" s="16">
        <f t="shared" si="1"/>
        <v>1.242</v>
      </c>
      <c r="L18" s="16">
        <f>K18*62.2/100</f>
        <v>0.772524</v>
      </c>
    </row>
    <row r="19">
      <c r="B19" s="19" t="s">
        <v>984</v>
      </c>
      <c r="C19" s="19">
        <v>98.0</v>
      </c>
      <c r="D19" s="19">
        <v>98.5</v>
      </c>
      <c r="F19" s="41" t="s">
        <v>985</v>
      </c>
      <c r="H19" s="295" t="s">
        <v>23</v>
      </c>
      <c r="I19" s="295" t="s">
        <v>402</v>
      </c>
      <c r="J19" s="295" t="s">
        <v>980</v>
      </c>
      <c r="K19" s="295" t="s">
        <v>986</v>
      </c>
      <c r="L19" s="295" t="s">
        <v>404</v>
      </c>
      <c r="M19" s="295" t="s">
        <v>981</v>
      </c>
      <c r="N19" s="295" t="s">
        <v>982</v>
      </c>
    </row>
    <row r="20">
      <c r="B20" s="19">
        <v>9999.0</v>
      </c>
      <c r="C20" s="19">
        <v>99.99</v>
      </c>
      <c r="D20" s="19">
        <v>99.99</v>
      </c>
      <c r="H20" s="19" t="s">
        <v>971</v>
      </c>
      <c r="I20" s="19">
        <v>76.972</v>
      </c>
      <c r="J20" s="19">
        <v>10.9205</v>
      </c>
      <c r="K20" s="19">
        <v>0.01</v>
      </c>
      <c r="L20" s="16">
        <f t="shared" ref="L20:L23" si="2">I20-J20-K20</f>
        <v>66.0415</v>
      </c>
      <c r="M20" s="16">
        <f t="shared" ref="M20:M23" si="3">L20*61.2/100</f>
        <v>40.417398</v>
      </c>
    </row>
    <row r="21">
      <c r="H21" s="19" t="s">
        <v>972</v>
      </c>
      <c r="I21" s="19">
        <v>30.028</v>
      </c>
      <c r="J21" s="19">
        <v>1.224</v>
      </c>
      <c r="K21" s="19">
        <v>0.01</v>
      </c>
      <c r="L21" s="16">
        <f t="shared" si="2"/>
        <v>28.794</v>
      </c>
      <c r="M21" s="16">
        <f t="shared" si="3"/>
        <v>17.621928</v>
      </c>
    </row>
    <row r="22">
      <c r="H22" s="19" t="s">
        <v>974</v>
      </c>
      <c r="I22" s="19">
        <v>1.242</v>
      </c>
      <c r="J22" s="19">
        <v>0.0</v>
      </c>
      <c r="K22" s="19">
        <v>0.01</v>
      </c>
      <c r="L22" s="16">
        <f t="shared" si="2"/>
        <v>1.232</v>
      </c>
      <c r="M22" s="16">
        <f t="shared" si="3"/>
        <v>0.753984</v>
      </c>
    </row>
    <row r="23">
      <c r="H23" s="19" t="s">
        <v>987</v>
      </c>
      <c r="I23" s="19">
        <v>1.0</v>
      </c>
      <c r="J23" s="19">
        <v>0.0</v>
      </c>
      <c r="K23" s="19">
        <v>0.01</v>
      </c>
      <c r="L23" s="16">
        <f t="shared" si="2"/>
        <v>0.99</v>
      </c>
      <c r="M23" s="16">
        <f t="shared" si="3"/>
        <v>0.60588</v>
      </c>
    </row>
    <row r="25">
      <c r="F25" s="41" t="s">
        <v>988</v>
      </c>
      <c r="I25" s="295" t="s">
        <v>989</v>
      </c>
      <c r="J25" s="295" t="s">
        <v>990</v>
      </c>
      <c r="K25" s="295" t="s">
        <v>991</v>
      </c>
      <c r="L25" s="295" t="s">
        <v>986</v>
      </c>
      <c r="M25" s="295" t="s">
        <v>982</v>
      </c>
    </row>
    <row r="26">
      <c r="I26" s="19">
        <v>0.012</v>
      </c>
      <c r="J26" s="19">
        <v>0.0</v>
      </c>
      <c r="K26" s="19">
        <f>I26-J26</f>
        <v>0.012</v>
      </c>
    </row>
    <row r="27">
      <c r="N27" s="16">
        <f>9.7*0.61</f>
        <v>5.917</v>
      </c>
    </row>
    <row r="28">
      <c r="N28" s="16">
        <f>6.1-N27</f>
        <v>0.183</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0"/>
    <col customWidth="1" min="2" max="2" width="17.86"/>
    <col customWidth="1" min="3" max="3" width="18.43"/>
    <col customWidth="1" min="4" max="4" width="27.57"/>
    <col customWidth="1" min="5" max="5" width="11.57"/>
    <col customWidth="1" min="6" max="6" width="12.57"/>
    <col customWidth="1" min="7" max="7" width="16.29"/>
    <col customWidth="1" min="8" max="8" width="12.71"/>
    <col customWidth="1" min="9" max="10" width="11.43"/>
    <col customWidth="1" min="11" max="11" width="21.14"/>
    <col customWidth="1" min="12" max="12" width="19.71"/>
    <col customWidth="1" min="13" max="14" width="22.0"/>
    <col customWidth="1" min="15" max="15" width="18.71"/>
    <col customWidth="1" min="16" max="16" width="20.86"/>
    <col customWidth="1" min="17" max="17" width="23.29"/>
    <col customWidth="1" min="18" max="19" width="17.86"/>
  </cols>
  <sheetData>
    <row r="1">
      <c r="A1" s="112" t="s">
        <v>992</v>
      </c>
    </row>
    <row r="2">
      <c r="A2" s="11" t="s">
        <v>15</v>
      </c>
      <c r="C2" s="11" t="s">
        <v>993</v>
      </c>
      <c r="D2" s="11"/>
      <c r="E2" s="11"/>
      <c r="F2" s="11"/>
      <c r="I2" s="9"/>
      <c r="J2" s="9"/>
    </row>
    <row r="3">
      <c r="A3" s="11" t="s">
        <v>114</v>
      </c>
      <c r="C3" s="11" t="s">
        <v>115</v>
      </c>
      <c r="D3" s="11"/>
      <c r="E3" s="11"/>
      <c r="F3" s="11"/>
      <c r="I3" s="9"/>
      <c r="J3" s="9"/>
    </row>
    <row r="4">
      <c r="A4" s="113"/>
      <c r="B4" s="9"/>
      <c r="C4" s="9"/>
      <c r="D4" s="9"/>
      <c r="E4" s="9"/>
      <c r="F4" s="9"/>
      <c r="G4" s="9"/>
      <c r="H4" s="9"/>
      <c r="I4" s="9"/>
      <c r="J4" s="9"/>
    </row>
    <row r="5">
      <c r="A5" s="116" t="s">
        <v>1</v>
      </c>
      <c r="B5" s="117" t="s">
        <v>762</v>
      </c>
      <c r="C5" s="117" t="s">
        <v>401</v>
      </c>
      <c r="D5" s="117" t="s">
        <v>993</v>
      </c>
      <c r="E5" s="117" t="s">
        <v>23</v>
      </c>
      <c r="F5" s="117" t="s">
        <v>20</v>
      </c>
      <c r="G5" s="117" t="s">
        <v>994</v>
      </c>
      <c r="H5" s="117" t="s">
        <v>402</v>
      </c>
      <c r="I5" s="117" t="s">
        <v>403</v>
      </c>
      <c r="J5" s="117" t="s">
        <v>404</v>
      </c>
      <c r="K5" s="117" t="s">
        <v>995</v>
      </c>
      <c r="L5" s="117" t="s">
        <v>996</v>
      </c>
      <c r="M5" s="117" t="s">
        <v>997</v>
      </c>
      <c r="N5" s="117" t="s">
        <v>998</v>
      </c>
      <c r="O5" s="117" t="s">
        <v>999</v>
      </c>
      <c r="P5" s="117" t="s">
        <v>1000</v>
      </c>
      <c r="Q5" s="117" t="s">
        <v>1001</v>
      </c>
      <c r="R5" s="117" t="s">
        <v>1002</v>
      </c>
      <c r="S5" s="117" t="s">
        <v>982</v>
      </c>
      <c r="T5" s="118"/>
      <c r="U5" s="118"/>
      <c r="V5" s="118"/>
      <c r="W5" s="118"/>
      <c r="X5" s="118"/>
      <c r="Y5" s="118"/>
      <c r="Z5" s="118"/>
      <c r="AA5" s="118"/>
      <c r="AB5" s="118"/>
      <c r="AC5" s="118"/>
      <c r="AD5" s="118"/>
      <c r="AE5" s="118"/>
      <c r="AF5" s="118"/>
      <c r="AG5" s="118"/>
      <c r="AH5" s="118"/>
    </row>
    <row r="6">
      <c r="A6" s="123">
        <v>1.0</v>
      </c>
      <c r="B6" s="125" t="s">
        <v>1003</v>
      </c>
      <c r="C6" s="126">
        <v>45575.0</v>
      </c>
      <c r="D6" s="129" t="s">
        <v>1004</v>
      </c>
      <c r="E6" s="127" t="s">
        <v>169</v>
      </c>
      <c r="F6" s="125" t="s">
        <v>422</v>
      </c>
      <c r="G6" s="125" t="s">
        <v>422</v>
      </c>
      <c r="H6" s="128">
        <v>6.130000000000001</v>
      </c>
      <c r="I6" s="128">
        <v>0.32</v>
      </c>
      <c r="J6" s="128">
        <f t="shared" ref="J6:J8" si="1">H6-I6</f>
        <v>5.81</v>
      </c>
      <c r="K6" s="127"/>
      <c r="L6" s="127"/>
      <c r="M6" s="127"/>
      <c r="N6" s="127"/>
      <c r="O6" s="127"/>
      <c r="P6" s="127"/>
      <c r="Q6" s="127"/>
      <c r="R6" s="127"/>
      <c r="S6" s="127"/>
    </row>
    <row r="7">
      <c r="A7" s="123">
        <v>2.0</v>
      </c>
      <c r="B7" s="125" t="s">
        <v>424</v>
      </c>
      <c r="C7" s="126">
        <v>45575.0</v>
      </c>
      <c r="D7" s="129" t="s">
        <v>1005</v>
      </c>
      <c r="E7" s="127" t="s">
        <v>169</v>
      </c>
      <c r="F7" s="125" t="s">
        <v>422</v>
      </c>
      <c r="G7" s="125" t="s">
        <v>422</v>
      </c>
      <c r="H7" s="125">
        <v>8.329</v>
      </c>
      <c r="I7" s="125">
        <v>1.2</v>
      </c>
      <c r="J7" s="128">
        <f t="shared" si="1"/>
        <v>7.129</v>
      </c>
      <c r="K7" s="125"/>
      <c r="L7" s="125"/>
      <c r="M7" s="125"/>
      <c r="N7" s="125"/>
      <c r="O7" s="125"/>
      <c r="P7" s="125"/>
      <c r="Q7" s="125"/>
      <c r="R7" s="125"/>
      <c r="S7" s="125"/>
    </row>
    <row r="8">
      <c r="A8" s="123">
        <v>3.0</v>
      </c>
      <c r="B8" s="125" t="s">
        <v>426</v>
      </c>
      <c r="C8" s="126">
        <v>45575.0</v>
      </c>
      <c r="D8" s="129" t="s">
        <v>1006</v>
      </c>
      <c r="E8" s="127" t="s">
        <v>169</v>
      </c>
      <c r="F8" s="125" t="s">
        <v>422</v>
      </c>
      <c r="G8" s="129"/>
      <c r="H8" s="125">
        <v>12.43</v>
      </c>
      <c r="I8" s="125">
        <v>0.872</v>
      </c>
      <c r="J8" s="128">
        <f t="shared" si="1"/>
        <v>11.558</v>
      </c>
      <c r="K8" s="125"/>
      <c r="L8" s="125"/>
      <c r="M8" s="125"/>
      <c r="N8" s="125"/>
      <c r="O8" s="125"/>
      <c r="P8" s="125"/>
      <c r="Q8" s="125"/>
      <c r="R8" s="125"/>
      <c r="S8" s="125"/>
    </row>
    <row r="9">
      <c r="A9" s="123"/>
      <c r="B9" s="125"/>
      <c r="C9" s="129"/>
      <c r="D9" s="129"/>
      <c r="E9" s="125"/>
      <c r="F9" s="130" t="s">
        <v>429</v>
      </c>
      <c r="G9" s="125"/>
      <c r="H9" s="125"/>
      <c r="I9" s="131"/>
      <c r="J9" s="132"/>
      <c r="K9" s="125"/>
      <c r="L9" s="125"/>
      <c r="M9" s="125"/>
      <c r="N9" s="125"/>
      <c r="O9" s="125"/>
      <c r="P9" s="125"/>
      <c r="Q9" s="125"/>
      <c r="R9" s="125"/>
      <c r="S9" s="125"/>
    </row>
  </sheetData>
  <mergeCells count="1">
    <mergeCell ref="A1:J1"/>
  </mergeCells>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43"/>
    <col customWidth="1" min="3" max="3" width="23.14"/>
    <col customWidth="1" min="4" max="4" width="25.57"/>
    <col customWidth="1" min="5" max="5" width="23.29"/>
  </cols>
  <sheetData>
    <row r="1">
      <c r="A1" s="112" t="s">
        <v>1007</v>
      </c>
    </row>
    <row r="2">
      <c r="A2" s="11" t="s">
        <v>15</v>
      </c>
      <c r="B2" s="9"/>
      <c r="C2" s="11" t="s">
        <v>23</v>
      </c>
      <c r="D2" s="9"/>
      <c r="E2" s="9"/>
    </row>
    <row r="3">
      <c r="A3" s="11" t="s">
        <v>114</v>
      </c>
      <c r="B3" s="9"/>
      <c r="C3" s="11" t="s">
        <v>115</v>
      </c>
      <c r="D3" s="9"/>
      <c r="E3" s="9"/>
    </row>
    <row r="4">
      <c r="A4" s="113"/>
      <c r="B4" s="9"/>
      <c r="C4" s="9"/>
      <c r="D4" s="9"/>
      <c r="E4" s="9"/>
    </row>
    <row r="5">
      <c r="A5" s="237" t="s">
        <v>1</v>
      </c>
      <c r="B5" s="297" t="s">
        <v>19</v>
      </c>
      <c r="C5" s="298" t="s">
        <v>1008</v>
      </c>
      <c r="D5" s="298" t="s">
        <v>1009</v>
      </c>
      <c r="E5" s="298" t="s">
        <v>168</v>
      </c>
    </row>
    <row r="6">
      <c r="A6" s="123">
        <v>1.0</v>
      </c>
      <c r="B6" s="240" t="s">
        <v>169</v>
      </c>
      <c r="C6" s="128">
        <v>6.130000000000001</v>
      </c>
      <c r="D6" s="299">
        <v>6314.763458401304</v>
      </c>
      <c r="E6" s="299">
        <v>38709.5</v>
      </c>
    </row>
    <row r="7">
      <c r="A7" s="123">
        <v>2.0</v>
      </c>
      <c r="B7" s="240" t="s">
        <v>179</v>
      </c>
      <c r="C7" s="128">
        <v>6.33</v>
      </c>
      <c r="D7" s="299">
        <v>8591.905213270142</v>
      </c>
      <c r="E7" s="299">
        <v>54386.759999999995</v>
      </c>
    </row>
    <row r="8">
      <c r="A8" s="240"/>
      <c r="B8" s="242" t="s">
        <v>429</v>
      </c>
      <c r="C8" s="243">
        <f t="shared" ref="C8:E8" si="1">SUM(C6:C7)</f>
        <v>12.46</v>
      </c>
      <c r="D8" s="132">
        <f t="shared" si="1"/>
        <v>14906.66867</v>
      </c>
      <c r="E8" s="132">
        <f t="shared" si="1"/>
        <v>93096.26</v>
      </c>
    </row>
  </sheetData>
  <mergeCells count="1">
    <mergeCell ref="A1:E1"/>
  </mergeCell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43"/>
    <col customWidth="1" min="2" max="2" width="17.43"/>
    <col customWidth="1" min="3" max="3" width="24.0"/>
    <col customWidth="1" min="4" max="4" width="25.43"/>
    <col customWidth="1" min="5" max="5" width="23.0"/>
  </cols>
  <sheetData>
    <row r="1">
      <c r="A1" s="112" t="s">
        <v>1010</v>
      </c>
    </row>
    <row r="2">
      <c r="A2" s="11" t="s">
        <v>15</v>
      </c>
      <c r="B2" s="9"/>
      <c r="C2" s="11" t="s">
        <v>19</v>
      </c>
      <c r="D2" s="9"/>
      <c r="E2" s="9"/>
    </row>
    <row r="3">
      <c r="A3" s="11" t="s">
        <v>114</v>
      </c>
      <c r="B3" s="9"/>
      <c r="C3" s="11" t="s">
        <v>115</v>
      </c>
      <c r="D3" s="9"/>
      <c r="E3" s="9"/>
    </row>
    <row r="4">
      <c r="A4" s="9"/>
      <c r="B4" s="9"/>
      <c r="C4" s="9"/>
      <c r="D4" s="9"/>
      <c r="E4" s="9"/>
    </row>
    <row r="5">
      <c r="A5" s="237" t="s">
        <v>1</v>
      </c>
      <c r="B5" s="300" t="s">
        <v>19</v>
      </c>
      <c r="C5" s="252" t="s">
        <v>166</v>
      </c>
      <c r="D5" s="237" t="s">
        <v>167</v>
      </c>
      <c r="E5" s="252" t="s">
        <v>168</v>
      </c>
    </row>
    <row r="6">
      <c r="A6" s="123">
        <v>1.0</v>
      </c>
      <c r="B6" s="240" t="s">
        <v>169</v>
      </c>
      <c r="C6" s="301">
        <v>3.5</v>
      </c>
      <c r="D6" s="123">
        <v>6320.0</v>
      </c>
      <c r="E6" s="302">
        <f t="shared" ref="E6:E8" si="1">C6*D6</f>
        <v>22120</v>
      </c>
    </row>
    <row r="7">
      <c r="A7" s="123">
        <v>2.0</v>
      </c>
      <c r="B7" s="240" t="s">
        <v>169</v>
      </c>
      <c r="C7" s="301">
        <v>1.4</v>
      </c>
      <c r="D7" s="123">
        <v>6218.0</v>
      </c>
      <c r="E7" s="302">
        <f t="shared" si="1"/>
        <v>8705.2</v>
      </c>
    </row>
    <row r="8">
      <c r="A8" s="123">
        <v>3.0</v>
      </c>
      <c r="B8" s="240" t="s">
        <v>169</v>
      </c>
      <c r="C8" s="301">
        <v>1.23</v>
      </c>
      <c r="D8" s="123">
        <v>6410.0</v>
      </c>
      <c r="E8" s="302">
        <f t="shared" si="1"/>
        <v>7884.3</v>
      </c>
    </row>
    <row r="9">
      <c r="A9" s="303"/>
      <c r="B9" s="304" t="s">
        <v>429</v>
      </c>
      <c r="C9" s="305">
        <f>SUM(C6:C8)</f>
        <v>6.13</v>
      </c>
      <c r="D9" s="306">
        <f>SUM(E6:E8)/SUM(C6:C8)</f>
        <v>6314.763458</v>
      </c>
      <c r="E9" s="306">
        <f>SUM(E6:E8)</f>
        <v>38709.5</v>
      </c>
    </row>
    <row r="10">
      <c r="A10" s="240"/>
      <c r="B10" s="240"/>
      <c r="C10" s="307"/>
      <c r="D10" s="240"/>
      <c r="E10" s="308"/>
    </row>
    <row r="11">
      <c r="A11" s="123">
        <v>5.0</v>
      </c>
      <c r="B11" s="240" t="s">
        <v>179</v>
      </c>
      <c r="C11" s="301">
        <v>3.5</v>
      </c>
      <c r="D11" s="123">
        <v>8872.0</v>
      </c>
      <c r="E11" s="302">
        <f t="shared" ref="E11:E13" si="2">C11*D11</f>
        <v>31052</v>
      </c>
    </row>
    <row r="12">
      <c r="A12" s="123">
        <v>6.0</v>
      </c>
      <c r="B12" s="240" t="s">
        <v>179</v>
      </c>
      <c r="C12" s="301">
        <v>1.6</v>
      </c>
      <c r="D12" s="123">
        <v>8302.0</v>
      </c>
      <c r="E12" s="302">
        <f t="shared" si="2"/>
        <v>13283.2</v>
      </c>
    </row>
    <row r="13">
      <c r="A13" s="123">
        <v>7.0</v>
      </c>
      <c r="B13" s="240" t="s">
        <v>179</v>
      </c>
      <c r="C13" s="301">
        <v>1.23</v>
      </c>
      <c r="D13" s="123">
        <v>8172.0</v>
      </c>
      <c r="E13" s="302">
        <f t="shared" si="2"/>
        <v>10051.56</v>
      </c>
    </row>
    <row r="14">
      <c r="A14" s="303"/>
      <c r="B14" s="304" t="s">
        <v>429</v>
      </c>
      <c r="C14" s="305">
        <f>SUM(C11:C13)</f>
        <v>6.33</v>
      </c>
      <c r="D14" s="306">
        <f>SUM(E11:E13)/SUM(C11:C13)</f>
        <v>8591.905213</v>
      </c>
      <c r="E14" s="306">
        <f>SUm(E11:E13)</f>
        <v>54386.76</v>
      </c>
    </row>
  </sheetData>
  <mergeCells count="1">
    <mergeCell ref="A1:E1"/>
  </mergeCells>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43"/>
    <col customWidth="1" min="2" max="3" width="17.43"/>
    <col customWidth="1" min="4" max="4" width="24.0"/>
    <col customWidth="1" min="5" max="5" width="25.43"/>
    <col customWidth="1" min="6" max="6" width="23.0"/>
    <col customWidth="1" min="7" max="7" width="21.14"/>
  </cols>
  <sheetData>
    <row r="1">
      <c r="A1" s="112" t="s">
        <v>1011</v>
      </c>
    </row>
    <row r="2">
      <c r="A2" s="11" t="s">
        <v>15</v>
      </c>
      <c r="B2" s="9"/>
      <c r="C2" s="11" t="s">
        <v>23</v>
      </c>
      <c r="E2" s="11" t="s">
        <v>19</v>
      </c>
      <c r="F2" s="9"/>
    </row>
    <row r="3">
      <c r="A3" s="11" t="s">
        <v>114</v>
      </c>
      <c r="B3" s="9"/>
      <c r="C3" s="11" t="s">
        <v>115</v>
      </c>
      <c r="E3" s="9"/>
      <c r="F3" s="9"/>
    </row>
    <row r="4">
      <c r="A4" s="9"/>
      <c r="B4" s="9"/>
      <c r="C4" s="9"/>
      <c r="D4" s="9"/>
      <c r="E4" s="9"/>
      <c r="F4" s="9"/>
    </row>
    <row r="5">
      <c r="A5" s="237" t="s">
        <v>1</v>
      </c>
      <c r="B5" s="252" t="s">
        <v>23</v>
      </c>
      <c r="C5" s="300" t="s">
        <v>19</v>
      </c>
      <c r="D5" s="252" t="s">
        <v>402</v>
      </c>
      <c r="E5" s="252" t="s">
        <v>980</v>
      </c>
      <c r="F5" s="252" t="s">
        <v>404</v>
      </c>
      <c r="G5" s="252" t="s">
        <v>1012</v>
      </c>
    </row>
    <row r="6">
      <c r="A6" s="123">
        <v>1.0</v>
      </c>
      <c r="B6" s="240" t="s">
        <v>169</v>
      </c>
      <c r="C6" s="124" t="s">
        <v>745</v>
      </c>
      <c r="D6" s="301">
        <v>3.5</v>
      </c>
      <c r="E6" s="309">
        <v>1.92</v>
      </c>
      <c r="F6" s="309">
        <f>D6-E6</f>
        <v>1.58</v>
      </c>
      <c r="G6" s="302"/>
    </row>
    <row r="7">
      <c r="A7" s="123">
        <v>2.0</v>
      </c>
      <c r="B7" s="240" t="s">
        <v>169</v>
      </c>
      <c r="C7" s="124" t="s">
        <v>1013</v>
      </c>
      <c r="D7" s="301">
        <v>1.4</v>
      </c>
      <c r="E7" s="309">
        <v>1.92</v>
      </c>
      <c r="F7" s="309">
        <f t="shared" ref="F7:F8" si="1">D7*E7</f>
        <v>2.688</v>
      </c>
      <c r="G7" s="302"/>
    </row>
    <row r="8">
      <c r="A8" s="123">
        <v>3.0</v>
      </c>
      <c r="B8" s="240" t="s">
        <v>169</v>
      </c>
      <c r="C8" s="124" t="s">
        <v>1014</v>
      </c>
      <c r="D8" s="301">
        <v>1.23</v>
      </c>
      <c r="E8" s="309">
        <v>1.92</v>
      </c>
      <c r="F8" s="309">
        <f t="shared" si="1"/>
        <v>2.3616</v>
      </c>
      <c r="G8" s="302"/>
    </row>
    <row r="9">
      <c r="A9" s="303"/>
      <c r="B9" s="304" t="s">
        <v>429</v>
      </c>
      <c r="C9" s="240"/>
      <c r="D9" s="305">
        <f>SUM(D6:D8)</f>
        <v>6.13</v>
      </c>
      <c r="E9" s="310">
        <v>1.92</v>
      </c>
      <c r="F9" s="310">
        <f>SUM(F6:F8)</f>
        <v>6.6296</v>
      </c>
      <c r="G9" s="306"/>
    </row>
    <row r="10">
      <c r="A10" s="240"/>
      <c r="B10" s="240"/>
      <c r="C10" s="240"/>
      <c r="D10" s="307"/>
      <c r="E10" s="309"/>
      <c r="F10" s="309"/>
      <c r="G10" s="308"/>
    </row>
    <row r="11">
      <c r="A11" s="123">
        <v>5.0</v>
      </c>
      <c r="B11" s="240" t="s">
        <v>179</v>
      </c>
      <c r="C11" s="124" t="s">
        <v>745</v>
      </c>
      <c r="D11" s="301">
        <v>3.5</v>
      </c>
      <c r="E11" s="309">
        <v>1.92</v>
      </c>
      <c r="F11" s="309">
        <f t="shared" ref="F11:F13" si="2">D11*E11</f>
        <v>6.72</v>
      </c>
      <c r="G11" s="302"/>
    </row>
    <row r="12">
      <c r="A12" s="123">
        <v>6.0</v>
      </c>
      <c r="B12" s="240" t="s">
        <v>179</v>
      </c>
      <c r="C12" s="124" t="s">
        <v>1013</v>
      </c>
      <c r="D12" s="301">
        <v>1.6</v>
      </c>
      <c r="E12" s="309">
        <v>1.92</v>
      </c>
      <c r="F12" s="309">
        <f t="shared" si="2"/>
        <v>3.072</v>
      </c>
      <c r="G12" s="302"/>
    </row>
    <row r="13">
      <c r="A13" s="123">
        <v>7.0</v>
      </c>
      <c r="B13" s="240" t="s">
        <v>179</v>
      </c>
      <c r="C13" s="124" t="s">
        <v>1014</v>
      </c>
      <c r="D13" s="301">
        <v>1.23</v>
      </c>
      <c r="E13" s="309">
        <v>1.92</v>
      </c>
      <c r="F13" s="309">
        <f t="shared" si="2"/>
        <v>2.3616</v>
      </c>
      <c r="G13" s="302"/>
    </row>
    <row r="14">
      <c r="A14" s="303"/>
      <c r="B14" s="304" t="s">
        <v>429</v>
      </c>
      <c r="C14" s="240"/>
      <c r="D14" s="305">
        <f>SUM(D11:D13)</f>
        <v>6.33</v>
      </c>
      <c r="E14" s="310">
        <v>1.92</v>
      </c>
      <c r="F14" s="310">
        <f>SUm(F11:F13)</f>
        <v>12.1536</v>
      </c>
      <c r="G14" s="306"/>
    </row>
  </sheetData>
  <mergeCells count="1">
    <mergeCell ref="A1:F1"/>
  </mergeCells>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43"/>
    <col customWidth="1" min="2" max="2" width="17.43"/>
    <col customWidth="1" min="3" max="6" width="13.14"/>
    <col customWidth="1" min="7" max="7" width="11.57"/>
    <col customWidth="1" min="8" max="8" width="12.14"/>
    <col customWidth="1" min="9" max="9" width="18.0"/>
    <col customWidth="1" min="10" max="10" width="16.14"/>
    <col customWidth="1" min="12" max="12" width="23.71"/>
  </cols>
  <sheetData>
    <row r="1">
      <c r="A1" s="112" t="s">
        <v>1015</v>
      </c>
    </row>
    <row r="2">
      <c r="A2" s="11" t="s">
        <v>15</v>
      </c>
      <c r="B2" s="11" t="s">
        <v>23</v>
      </c>
      <c r="G2" s="11"/>
      <c r="H2" s="9"/>
    </row>
    <row r="3">
      <c r="A3" s="11" t="s">
        <v>114</v>
      </c>
      <c r="B3" s="11" t="s">
        <v>115</v>
      </c>
      <c r="G3" s="9"/>
      <c r="H3" s="9"/>
    </row>
    <row r="4">
      <c r="A4" s="9"/>
      <c r="B4" s="9"/>
      <c r="C4" s="11" t="s">
        <v>1016</v>
      </c>
      <c r="D4" s="11" t="s">
        <v>1016</v>
      </c>
      <c r="E4" s="11" t="s">
        <v>1016</v>
      </c>
      <c r="F4" s="9"/>
      <c r="G4" s="9"/>
      <c r="H4" s="9"/>
    </row>
    <row r="5">
      <c r="A5" s="311" t="s">
        <v>1</v>
      </c>
      <c r="B5" s="312" t="s">
        <v>762</v>
      </c>
      <c r="C5" s="312" t="s">
        <v>23</v>
      </c>
      <c r="D5" s="312" t="s">
        <v>1017</v>
      </c>
      <c r="E5" s="313" t="s">
        <v>1018</v>
      </c>
      <c r="F5" s="188"/>
      <c r="G5" s="188"/>
      <c r="H5" s="189"/>
      <c r="I5" s="313" t="s">
        <v>1019</v>
      </c>
      <c r="J5" s="188"/>
      <c r="K5" s="189"/>
      <c r="L5" s="312" t="s">
        <v>1020</v>
      </c>
    </row>
    <row r="6">
      <c r="A6" s="233"/>
      <c r="B6" s="233"/>
      <c r="C6" s="233"/>
      <c r="D6" s="233"/>
      <c r="E6" s="252" t="s">
        <v>730</v>
      </c>
      <c r="F6" s="252" t="s">
        <v>402</v>
      </c>
      <c r="G6" s="252" t="s">
        <v>980</v>
      </c>
      <c r="H6" s="252" t="s">
        <v>404</v>
      </c>
      <c r="I6" s="252" t="s">
        <v>404</v>
      </c>
      <c r="J6" s="252" t="s">
        <v>1021</v>
      </c>
      <c r="K6" s="252" t="s">
        <v>1012</v>
      </c>
      <c r="L6" s="233"/>
    </row>
    <row r="7">
      <c r="A7" s="123">
        <v>1.0</v>
      </c>
      <c r="B7" s="124" t="s">
        <v>1022</v>
      </c>
      <c r="C7" s="240" t="s">
        <v>169</v>
      </c>
      <c r="D7" s="301"/>
      <c r="E7" s="314">
        <v>5.0</v>
      </c>
      <c r="F7" s="301">
        <v>3.5</v>
      </c>
      <c r="G7" s="309">
        <v>1.92</v>
      </c>
      <c r="H7" s="309">
        <f>F7-G7</f>
        <v>1.58</v>
      </c>
      <c r="I7" s="241">
        <v>3.03</v>
      </c>
      <c r="J7" s="315">
        <v>62.3</v>
      </c>
      <c r="K7" s="301">
        <f t="shared" ref="K7:K9" si="1">I7*J7/100</f>
        <v>1.88769</v>
      </c>
      <c r="L7" s="301">
        <f t="shared" ref="L7:L9" si="2">I7-F7</f>
        <v>-0.47</v>
      </c>
    </row>
    <row r="8">
      <c r="A8" s="123">
        <v>2.0</v>
      </c>
      <c r="B8" s="124" t="s">
        <v>1022</v>
      </c>
      <c r="C8" s="124" t="s">
        <v>179</v>
      </c>
      <c r="D8" s="301"/>
      <c r="E8" s="314">
        <v>3.0</v>
      </c>
      <c r="F8" s="301">
        <v>1.4</v>
      </c>
      <c r="G8" s="309">
        <v>1.92</v>
      </c>
      <c r="H8" s="309">
        <f t="shared" ref="H8:H9" si="3">F8*G8</f>
        <v>2.688</v>
      </c>
      <c r="I8" s="241">
        <v>1.12</v>
      </c>
      <c r="J8" s="315">
        <v>61.3</v>
      </c>
      <c r="K8" s="301">
        <f t="shared" si="1"/>
        <v>0.68656</v>
      </c>
      <c r="L8" s="301">
        <f t="shared" si="2"/>
        <v>-0.28</v>
      </c>
    </row>
    <row r="9">
      <c r="A9" s="123">
        <v>3.0</v>
      </c>
      <c r="B9" s="124" t="s">
        <v>1023</v>
      </c>
      <c r="C9" s="240" t="s">
        <v>169</v>
      </c>
      <c r="D9" s="301"/>
      <c r="E9" s="314">
        <v>4.0</v>
      </c>
      <c r="F9" s="301">
        <v>1.23</v>
      </c>
      <c r="G9" s="309">
        <v>1.92</v>
      </c>
      <c r="H9" s="309">
        <f t="shared" si="3"/>
        <v>2.3616</v>
      </c>
      <c r="I9" s="241">
        <v>1.023</v>
      </c>
      <c r="J9" s="315">
        <v>60.23</v>
      </c>
      <c r="K9" s="301">
        <f t="shared" si="1"/>
        <v>0.6161529</v>
      </c>
      <c r="L9" s="301">
        <f t="shared" si="2"/>
        <v>-0.207</v>
      </c>
    </row>
    <row r="10">
      <c r="A10" s="303"/>
      <c r="B10" s="240"/>
      <c r="C10" s="304" t="s">
        <v>429</v>
      </c>
      <c r="D10" s="305"/>
      <c r="E10" s="305"/>
      <c r="F10" s="305">
        <f>SUM(F7:F9)</f>
        <v>6.13</v>
      </c>
      <c r="G10" s="310">
        <v>1.92</v>
      </c>
      <c r="H10" s="310">
        <f t="shared" ref="H10:I10" si="4">SUM(H7:H9)</f>
        <v>6.6296</v>
      </c>
      <c r="I10" s="305">
        <f t="shared" si="4"/>
        <v>5.173</v>
      </c>
      <c r="J10" s="310"/>
      <c r="K10" s="301"/>
      <c r="L10" s="301"/>
    </row>
    <row r="11">
      <c r="A11" s="240"/>
      <c r="B11" s="240"/>
      <c r="C11" s="240"/>
      <c r="D11" s="307"/>
      <c r="E11" s="307"/>
      <c r="F11" s="307"/>
      <c r="G11" s="309"/>
      <c r="H11" s="309"/>
      <c r="I11" s="307"/>
      <c r="J11" s="309"/>
      <c r="K11" s="301"/>
      <c r="L11" s="301"/>
    </row>
    <row r="12">
      <c r="A12" s="123">
        <v>5.0</v>
      </c>
      <c r="B12" s="124" t="s">
        <v>1024</v>
      </c>
      <c r="C12" s="240" t="s">
        <v>179</v>
      </c>
      <c r="D12" s="301"/>
      <c r="E12" s="301"/>
      <c r="F12" s="301">
        <v>3.5</v>
      </c>
      <c r="G12" s="309">
        <v>1.92</v>
      </c>
      <c r="H12" s="309">
        <f t="shared" ref="H12:H14" si="5">F12*G12</f>
        <v>6.72</v>
      </c>
      <c r="I12" s="301">
        <v>3.5</v>
      </c>
      <c r="J12" s="309"/>
      <c r="K12" s="301"/>
      <c r="L12" s="301"/>
    </row>
    <row r="13">
      <c r="A13" s="123">
        <v>6.0</v>
      </c>
      <c r="B13" s="124" t="s">
        <v>1024</v>
      </c>
      <c r="C13" s="240" t="s">
        <v>179</v>
      </c>
      <c r="D13" s="301"/>
      <c r="E13" s="301"/>
      <c r="F13" s="301">
        <v>1.6</v>
      </c>
      <c r="G13" s="309">
        <v>1.92</v>
      </c>
      <c r="H13" s="309">
        <f t="shared" si="5"/>
        <v>3.072</v>
      </c>
      <c r="I13" s="301">
        <v>1.6</v>
      </c>
      <c r="J13" s="309"/>
      <c r="K13" s="301"/>
      <c r="L13" s="301"/>
    </row>
    <row r="14">
      <c r="A14" s="123">
        <v>7.0</v>
      </c>
      <c r="B14" s="124" t="s">
        <v>1024</v>
      </c>
      <c r="C14" s="240" t="s">
        <v>179</v>
      </c>
      <c r="D14" s="301"/>
      <c r="E14" s="301"/>
      <c r="F14" s="301">
        <v>1.23</v>
      </c>
      <c r="G14" s="309">
        <v>1.92</v>
      </c>
      <c r="H14" s="309">
        <f t="shared" si="5"/>
        <v>2.3616</v>
      </c>
      <c r="I14" s="301">
        <v>1.23</v>
      </c>
      <c r="J14" s="309"/>
      <c r="K14" s="301"/>
      <c r="L14" s="301"/>
    </row>
    <row r="15">
      <c r="A15" s="303"/>
      <c r="B15" s="240"/>
      <c r="C15" s="304" t="s">
        <v>429</v>
      </c>
      <c r="D15" s="305"/>
      <c r="E15" s="305"/>
      <c r="F15" s="305">
        <f>SUM(F12:F14)</f>
        <v>6.33</v>
      </c>
      <c r="G15" s="310">
        <v>1.92</v>
      </c>
      <c r="H15" s="310">
        <f>SUm(H12:H14)</f>
        <v>12.1536</v>
      </c>
      <c r="I15" s="305">
        <f>SUM(I12:I14)</f>
        <v>6.33</v>
      </c>
      <c r="J15" s="310"/>
      <c r="K15" s="301"/>
      <c r="L15" s="301"/>
    </row>
  </sheetData>
  <mergeCells count="8">
    <mergeCell ref="A1:H1"/>
    <mergeCell ref="A5:A6"/>
    <mergeCell ref="B5:B6"/>
    <mergeCell ref="C5:C6"/>
    <mergeCell ref="D5:D6"/>
    <mergeCell ref="E5:H5"/>
    <mergeCell ref="I5:K5"/>
    <mergeCell ref="L5:L6"/>
  </mergeCells>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8.71"/>
    <col customWidth="1" min="3" max="3" width="13.29"/>
    <col customWidth="1" min="4" max="4" width="42.14"/>
    <col customWidth="1" min="5" max="5" width="11.86"/>
    <col customWidth="1" min="6" max="6" width="24.29"/>
    <col customWidth="1" min="7" max="7" width="10.14"/>
    <col customWidth="1" min="8" max="8" width="21.86"/>
    <col customWidth="1" min="9" max="9" width="31.71"/>
    <col customWidth="1" min="10" max="10" width="16.57"/>
    <col customWidth="1" min="11" max="11" width="16.29"/>
    <col customWidth="1" min="12" max="12" width="18.57"/>
    <col customWidth="1" min="13" max="13" width="67.29"/>
    <col customWidth="1" min="14" max="16" width="8.71"/>
    <col customWidth="1" min="17" max="17" width="80.0"/>
  </cols>
  <sheetData>
    <row r="1">
      <c r="A1" s="316" t="s">
        <v>1025</v>
      </c>
      <c r="C1" s="317"/>
    </row>
    <row r="2">
      <c r="B2" s="316">
        <v>32.0</v>
      </c>
      <c r="C2" s="318" t="s">
        <v>1026</v>
      </c>
      <c r="D2" s="319" t="s">
        <v>1027</v>
      </c>
      <c r="E2" s="316">
        <v>32.0</v>
      </c>
      <c r="F2" s="320" t="s">
        <v>1027</v>
      </c>
      <c r="G2" s="320" t="s">
        <v>1028</v>
      </c>
      <c r="I2" s="321"/>
      <c r="J2" s="320"/>
      <c r="K2" s="321"/>
      <c r="L2" s="316">
        <v>31.0</v>
      </c>
      <c r="M2" s="322" t="s">
        <v>1029</v>
      </c>
      <c r="Q2" s="157" t="s">
        <v>1030</v>
      </c>
    </row>
    <row r="3" ht="14.25" customHeight="1">
      <c r="C3" s="323" t="s">
        <v>1031</v>
      </c>
      <c r="D3" s="324" t="s">
        <v>1032</v>
      </c>
      <c r="F3" s="320"/>
      <c r="G3" s="320"/>
      <c r="H3" s="321"/>
      <c r="I3" s="321"/>
      <c r="J3" s="320"/>
      <c r="K3" s="321"/>
      <c r="M3" s="324" t="s">
        <v>1033</v>
      </c>
      <c r="Q3" s="325" t="s">
        <v>1034</v>
      </c>
    </row>
    <row r="4" ht="14.25" customHeight="1">
      <c r="C4" s="326"/>
      <c r="D4" s="327" t="s">
        <v>1035</v>
      </c>
      <c r="F4" s="328" t="s">
        <v>1032</v>
      </c>
      <c r="G4" s="320" t="s">
        <v>1036</v>
      </c>
      <c r="H4" s="320"/>
      <c r="I4" s="321"/>
      <c r="J4" s="320"/>
      <c r="K4" s="320"/>
      <c r="M4" s="327" t="s">
        <v>1037</v>
      </c>
      <c r="Q4" s="329" t="s">
        <v>1038</v>
      </c>
    </row>
    <row r="5" ht="14.25" customHeight="1">
      <c r="C5" s="326"/>
      <c r="D5" s="324" t="s">
        <v>1039</v>
      </c>
      <c r="F5" s="320"/>
      <c r="G5" s="320"/>
      <c r="H5" s="330" t="s">
        <v>1040</v>
      </c>
      <c r="I5" s="331" t="s">
        <v>1041</v>
      </c>
      <c r="J5" s="320"/>
      <c r="K5" s="320"/>
      <c r="M5" s="324" t="s">
        <v>1042</v>
      </c>
      <c r="Q5" s="325" t="s">
        <v>1043</v>
      </c>
    </row>
    <row r="6" ht="14.25" customHeight="1">
      <c r="C6" s="326"/>
      <c r="D6" s="327" t="s">
        <v>1044</v>
      </c>
      <c r="F6" s="320"/>
      <c r="G6" s="320"/>
      <c r="H6" s="332" t="s">
        <v>1045</v>
      </c>
      <c r="I6" s="333" t="s">
        <v>1046</v>
      </c>
      <c r="J6" s="320"/>
      <c r="K6" s="320"/>
      <c r="M6" s="327" t="s">
        <v>1047</v>
      </c>
      <c r="Q6" s="329" t="s">
        <v>1048</v>
      </c>
    </row>
    <row r="7" ht="14.25" customHeight="1">
      <c r="C7" s="326"/>
      <c r="D7" s="324" t="s">
        <v>1049</v>
      </c>
      <c r="F7" s="320"/>
      <c r="G7" s="320"/>
      <c r="H7" s="332" t="s">
        <v>1050</v>
      </c>
      <c r="I7" s="333" t="s">
        <v>1051</v>
      </c>
      <c r="J7" s="320"/>
      <c r="K7" s="320"/>
      <c r="M7" s="324" t="s">
        <v>1052</v>
      </c>
      <c r="Q7" s="325" t="s">
        <v>1053</v>
      </c>
    </row>
    <row r="8" ht="14.25" customHeight="1">
      <c r="C8" s="326"/>
      <c r="D8" s="327" t="s">
        <v>1054</v>
      </c>
      <c r="F8" s="320"/>
      <c r="G8" s="320"/>
      <c r="H8" s="334" t="s">
        <v>1055</v>
      </c>
      <c r="I8" s="335" t="s">
        <v>1056</v>
      </c>
      <c r="J8" s="320"/>
      <c r="K8" s="320"/>
      <c r="M8" s="327" t="s">
        <v>1057</v>
      </c>
      <c r="Q8" s="329" t="s">
        <v>1058</v>
      </c>
    </row>
    <row r="9" ht="14.25" customHeight="1">
      <c r="C9" s="326"/>
      <c r="D9" s="324" t="s">
        <v>1059</v>
      </c>
      <c r="F9" s="328" t="s">
        <v>1060</v>
      </c>
      <c r="G9" s="320" t="s">
        <v>1061</v>
      </c>
      <c r="H9" s="320"/>
      <c r="I9" s="321"/>
      <c r="J9" s="320"/>
      <c r="K9" s="320"/>
      <c r="M9" s="324" t="s">
        <v>1062</v>
      </c>
      <c r="Q9" s="325" t="s">
        <v>1063</v>
      </c>
    </row>
    <row r="10" ht="14.25" customHeight="1">
      <c r="C10" s="326"/>
      <c r="D10" s="327" t="s">
        <v>1064</v>
      </c>
      <c r="F10" s="320"/>
      <c r="G10" s="320"/>
      <c r="H10" s="330" t="s">
        <v>1065</v>
      </c>
      <c r="I10" s="331" t="s">
        <v>1041</v>
      </c>
      <c r="J10" s="320"/>
      <c r="K10" s="320"/>
      <c r="M10" s="327" t="s">
        <v>1066</v>
      </c>
      <c r="Q10" s="329" t="s">
        <v>1067</v>
      </c>
    </row>
    <row r="11" ht="14.25" customHeight="1">
      <c r="C11" s="326"/>
      <c r="D11" s="324" t="s">
        <v>1068</v>
      </c>
      <c r="F11" s="320"/>
      <c r="G11" s="320"/>
      <c r="H11" s="332" t="s">
        <v>1069</v>
      </c>
      <c r="I11" s="333" t="s">
        <v>1070</v>
      </c>
      <c r="J11" s="320"/>
      <c r="K11" s="320"/>
      <c r="M11" s="324" t="s">
        <v>1071</v>
      </c>
      <c r="Q11" s="325" t="s">
        <v>1072</v>
      </c>
    </row>
    <row r="12" ht="14.25" customHeight="1">
      <c r="C12" s="326"/>
      <c r="D12" s="327" t="s">
        <v>1073</v>
      </c>
      <c r="F12" s="320"/>
      <c r="G12" s="320"/>
      <c r="H12" s="332" t="s">
        <v>1074</v>
      </c>
      <c r="I12" s="333" t="s">
        <v>1075</v>
      </c>
      <c r="J12" s="320"/>
      <c r="K12" s="320"/>
      <c r="M12" s="327" t="s">
        <v>1076</v>
      </c>
      <c r="Q12" s="329" t="s">
        <v>1077</v>
      </c>
    </row>
    <row r="13" ht="14.25" customHeight="1">
      <c r="C13" s="326"/>
      <c r="D13" s="324" t="s">
        <v>1078</v>
      </c>
      <c r="F13" s="320"/>
      <c r="G13" s="320"/>
      <c r="H13" s="332" t="s">
        <v>1079</v>
      </c>
      <c r="I13" s="333" t="s">
        <v>1080</v>
      </c>
      <c r="J13" s="320"/>
      <c r="K13" s="320"/>
      <c r="M13" s="324" t="s">
        <v>1081</v>
      </c>
      <c r="Q13" s="325" t="s">
        <v>1082</v>
      </c>
    </row>
    <row r="14" ht="14.25" customHeight="1">
      <c r="C14" s="326"/>
      <c r="D14" s="327" t="s">
        <v>1083</v>
      </c>
      <c r="F14" s="320"/>
      <c r="G14" s="320"/>
      <c r="H14" s="332" t="s">
        <v>1084</v>
      </c>
      <c r="I14" s="333" t="s">
        <v>1085</v>
      </c>
      <c r="J14" s="320"/>
      <c r="K14" s="320"/>
      <c r="M14" s="327" t="s">
        <v>1086</v>
      </c>
      <c r="Q14" s="329" t="s">
        <v>1087</v>
      </c>
    </row>
    <row r="15" ht="14.25" customHeight="1">
      <c r="C15" s="326"/>
      <c r="D15" s="324" t="s">
        <v>1088</v>
      </c>
      <c r="F15" s="320"/>
      <c r="G15" s="320"/>
      <c r="H15" s="334" t="s">
        <v>1089</v>
      </c>
      <c r="I15" s="335" t="s">
        <v>1090</v>
      </c>
      <c r="J15" s="320"/>
      <c r="K15" s="320"/>
      <c r="M15" s="324" t="s">
        <v>1091</v>
      </c>
      <c r="Q15" s="325" t="s">
        <v>1092</v>
      </c>
    </row>
    <row r="16" ht="14.25" customHeight="1">
      <c r="C16" s="326"/>
      <c r="D16" s="327" t="s">
        <v>1093</v>
      </c>
      <c r="F16" s="328" t="s">
        <v>1049</v>
      </c>
      <c r="G16" s="320" t="s">
        <v>1094</v>
      </c>
      <c r="H16" s="320"/>
      <c r="I16" s="321"/>
      <c r="J16" s="320"/>
      <c r="K16" s="320"/>
      <c r="M16" s="327" t="s">
        <v>1095</v>
      </c>
      <c r="Q16" s="329" t="s">
        <v>1096</v>
      </c>
    </row>
    <row r="17" ht="14.25" customHeight="1">
      <c r="C17" s="326"/>
      <c r="D17" s="327" t="s">
        <v>1097</v>
      </c>
      <c r="F17" s="320"/>
      <c r="G17" s="320"/>
      <c r="H17" s="321" t="s">
        <v>1098</v>
      </c>
      <c r="I17" s="321"/>
      <c r="J17" s="320"/>
      <c r="K17" s="321"/>
      <c r="M17" s="324" t="s">
        <v>1099</v>
      </c>
      <c r="Q17" s="325" t="s">
        <v>1100</v>
      </c>
    </row>
    <row r="18" ht="14.25" customHeight="1">
      <c r="C18" s="326"/>
      <c r="D18" s="324" t="s">
        <v>1101</v>
      </c>
      <c r="F18" s="320"/>
      <c r="G18" s="320"/>
      <c r="H18" s="330" t="s">
        <v>1102</v>
      </c>
      <c r="I18" s="331" t="s">
        <v>1041</v>
      </c>
      <c r="J18" s="320"/>
      <c r="K18" s="321"/>
      <c r="M18" s="327" t="s">
        <v>1103</v>
      </c>
      <c r="Q18" s="329" t="s">
        <v>1104</v>
      </c>
    </row>
    <row r="19">
      <c r="C19" s="326"/>
      <c r="D19" s="327" t="s">
        <v>1105</v>
      </c>
      <c r="F19" s="320"/>
      <c r="G19" s="320"/>
      <c r="H19" s="332" t="s">
        <v>1106</v>
      </c>
      <c r="I19" s="333" t="s">
        <v>1070</v>
      </c>
      <c r="J19" s="320"/>
      <c r="K19" s="321"/>
      <c r="M19" s="324" t="s">
        <v>1107</v>
      </c>
      <c r="Q19" s="336" t="s">
        <v>1108</v>
      </c>
    </row>
    <row r="20" ht="14.25" customHeight="1">
      <c r="C20" s="326"/>
      <c r="D20" s="324" t="s">
        <v>1109</v>
      </c>
      <c r="F20" s="320"/>
      <c r="G20" s="320"/>
      <c r="H20" s="332" t="s">
        <v>1110</v>
      </c>
      <c r="I20" s="333" t="s">
        <v>1075</v>
      </c>
      <c r="J20" s="320"/>
      <c r="K20" s="321"/>
      <c r="M20" s="327" t="s">
        <v>1111</v>
      </c>
      <c r="Q20" s="337" t="s">
        <v>1112</v>
      </c>
    </row>
    <row r="21" ht="14.25" customHeight="1">
      <c r="C21" s="326"/>
      <c r="D21" s="327" t="s">
        <v>1113</v>
      </c>
      <c r="F21" s="320"/>
      <c r="G21" s="320"/>
      <c r="H21" s="332" t="s">
        <v>1114</v>
      </c>
      <c r="I21" s="333" t="s">
        <v>1080</v>
      </c>
      <c r="J21" s="320"/>
      <c r="K21" s="321"/>
      <c r="M21" s="42" t="s">
        <v>1115</v>
      </c>
      <c r="Q21" s="337" t="s">
        <v>1116</v>
      </c>
    </row>
    <row r="22" ht="14.25" customHeight="1">
      <c r="C22" s="233"/>
      <c r="D22" s="324" t="s">
        <v>1117</v>
      </c>
      <c r="F22" s="320"/>
      <c r="G22" s="320"/>
      <c r="H22" s="332" t="s">
        <v>1118</v>
      </c>
      <c r="I22" s="333" t="s">
        <v>1085</v>
      </c>
      <c r="J22" s="320"/>
      <c r="K22" s="321"/>
      <c r="Q22" s="337" t="s">
        <v>1119</v>
      </c>
    </row>
    <row r="23" ht="14.25" customHeight="1">
      <c r="C23" s="323" t="s">
        <v>1120</v>
      </c>
      <c r="D23" s="338" t="s">
        <v>1121</v>
      </c>
      <c r="F23" s="320"/>
      <c r="G23" s="320"/>
      <c r="H23" s="334" t="s">
        <v>1122</v>
      </c>
      <c r="I23" s="335" t="s">
        <v>1090</v>
      </c>
      <c r="J23" s="320"/>
      <c r="K23" s="321"/>
      <c r="Q23" s="337" t="s">
        <v>1123</v>
      </c>
    </row>
    <row r="24" ht="14.25" customHeight="1">
      <c r="C24" s="326"/>
      <c r="D24" s="327" t="s">
        <v>1124</v>
      </c>
      <c r="F24" s="328" t="s">
        <v>1054</v>
      </c>
      <c r="G24" s="320" t="s">
        <v>1125</v>
      </c>
      <c r="H24" s="321"/>
      <c r="I24" s="321"/>
      <c r="J24" s="320"/>
      <c r="K24" s="321"/>
      <c r="Q24" s="337" t="s">
        <v>1126</v>
      </c>
    </row>
    <row r="25" ht="14.25" customHeight="1">
      <c r="C25" s="326"/>
      <c r="D25" s="324" t="s">
        <v>1127</v>
      </c>
      <c r="F25" s="320"/>
      <c r="G25" s="320"/>
      <c r="H25" s="321" t="s">
        <v>1128</v>
      </c>
      <c r="I25" s="321"/>
      <c r="J25" s="320"/>
      <c r="K25" s="321"/>
    </row>
    <row r="26" ht="14.25" customHeight="1">
      <c r="C26" s="326"/>
      <c r="D26" s="327" t="s">
        <v>1129</v>
      </c>
      <c r="F26" s="320"/>
      <c r="G26" s="320"/>
      <c r="H26" s="330" t="s">
        <v>1130</v>
      </c>
      <c r="I26" s="331" t="s">
        <v>1041</v>
      </c>
      <c r="J26" s="320"/>
      <c r="K26" s="321"/>
    </row>
    <row r="27" ht="15.75" customHeight="1">
      <c r="C27" s="326"/>
      <c r="D27" s="324" t="s">
        <v>1131</v>
      </c>
      <c r="F27" s="320"/>
      <c r="G27" s="320"/>
      <c r="H27" s="332" t="s">
        <v>1132</v>
      </c>
      <c r="I27" s="333" t="s">
        <v>1070</v>
      </c>
      <c r="J27" s="320"/>
      <c r="K27" s="321"/>
    </row>
    <row r="28" ht="14.25" customHeight="1">
      <c r="C28" s="326"/>
      <c r="D28" s="327" t="s">
        <v>1133</v>
      </c>
      <c r="F28" s="320"/>
      <c r="G28" s="320"/>
      <c r="H28" s="332" t="s">
        <v>1134</v>
      </c>
      <c r="I28" s="333" t="s">
        <v>1075</v>
      </c>
      <c r="J28" s="320"/>
      <c r="K28" s="321"/>
    </row>
    <row r="29" ht="14.25" customHeight="1">
      <c r="C29" s="326"/>
      <c r="D29" s="324" t="s">
        <v>1135</v>
      </c>
      <c r="F29" s="320"/>
      <c r="G29" s="320"/>
      <c r="H29" s="332" t="s">
        <v>1136</v>
      </c>
      <c r="I29" s="333" t="s">
        <v>1080</v>
      </c>
      <c r="J29" s="320"/>
      <c r="K29" s="321"/>
    </row>
    <row r="30" ht="15.75" customHeight="1">
      <c r="C30" s="326"/>
      <c r="D30" s="327" t="s">
        <v>1137</v>
      </c>
      <c r="F30" s="320"/>
      <c r="G30" s="320"/>
      <c r="H30" s="332" t="s">
        <v>1138</v>
      </c>
      <c r="I30" s="333" t="s">
        <v>1085</v>
      </c>
      <c r="J30" s="320"/>
      <c r="K30" s="321"/>
    </row>
    <row r="31" ht="14.25" customHeight="1">
      <c r="C31" s="326"/>
      <c r="D31" s="324" t="s">
        <v>1139</v>
      </c>
      <c r="F31" s="320"/>
      <c r="G31" s="320"/>
      <c r="H31" s="334" t="s">
        <v>1140</v>
      </c>
      <c r="I31" s="335" t="s">
        <v>1090</v>
      </c>
      <c r="J31" s="320"/>
      <c r="K31" s="321"/>
    </row>
    <row r="32" ht="14.25" customHeight="1">
      <c r="C32" s="323" t="s">
        <v>1141</v>
      </c>
      <c r="D32" s="339" t="s">
        <v>1142</v>
      </c>
      <c r="F32" s="328" t="s">
        <v>1059</v>
      </c>
      <c r="G32" s="320" t="s">
        <v>1143</v>
      </c>
      <c r="H32" s="320"/>
      <c r="I32" s="321"/>
      <c r="J32" s="320"/>
      <c r="K32" s="321"/>
    </row>
    <row r="33" ht="14.25" customHeight="1">
      <c r="C33" s="326"/>
      <c r="D33" s="339" t="s">
        <v>1144</v>
      </c>
      <c r="F33" s="320"/>
      <c r="G33" s="320"/>
      <c r="H33" s="321" t="s">
        <v>1145</v>
      </c>
      <c r="I33" s="321"/>
      <c r="J33" s="320"/>
      <c r="K33" s="321"/>
    </row>
    <row r="34" ht="14.25" customHeight="1">
      <c r="C34" s="326"/>
      <c r="D34" s="339" t="s">
        <v>1146</v>
      </c>
      <c r="F34" s="320"/>
      <c r="G34" s="320"/>
      <c r="H34" s="330" t="s">
        <v>1147</v>
      </c>
      <c r="I34" s="331" t="s">
        <v>1041</v>
      </c>
      <c r="J34" s="320"/>
      <c r="K34" s="321"/>
    </row>
    <row r="35" ht="14.25" customHeight="1">
      <c r="C35" s="326"/>
      <c r="D35" s="339" t="s">
        <v>1148</v>
      </c>
      <c r="F35" s="320"/>
      <c r="G35" s="320"/>
      <c r="H35" s="332" t="s">
        <v>1106</v>
      </c>
      <c r="I35" s="333" t="s">
        <v>1075</v>
      </c>
      <c r="J35" s="320"/>
      <c r="K35" s="321"/>
    </row>
    <row r="36" ht="14.25" customHeight="1">
      <c r="C36" s="233"/>
      <c r="D36" s="339" t="s">
        <v>1149</v>
      </c>
      <c r="F36" s="320"/>
      <c r="G36" s="320"/>
      <c r="H36" s="332" t="s">
        <v>1150</v>
      </c>
      <c r="I36" s="333" t="s">
        <v>1080</v>
      </c>
      <c r="J36" s="320"/>
      <c r="K36" s="321"/>
    </row>
    <row r="37" ht="14.25" customHeight="1">
      <c r="C37" s="340" t="s">
        <v>1151</v>
      </c>
      <c r="D37" s="327" t="s">
        <v>1152</v>
      </c>
      <c r="F37" s="320"/>
      <c r="G37" s="320"/>
      <c r="H37" s="332" t="s">
        <v>1153</v>
      </c>
      <c r="I37" s="333" t="s">
        <v>1085</v>
      </c>
      <c r="J37" s="320"/>
      <c r="K37" s="321"/>
    </row>
    <row r="38" ht="15.75" customHeight="1">
      <c r="C38" s="326"/>
      <c r="D38" s="338" t="s">
        <v>1154</v>
      </c>
      <c r="F38" s="320"/>
      <c r="G38" s="320"/>
      <c r="H38" s="334" t="s">
        <v>1155</v>
      </c>
      <c r="I38" s="335" t="s">
        <v>1090</v>
      </c>
      <c r="J38" s="320"/>
      <c r="K38" s="321"/>
    </row>
    <row r="39" ht="15.75" customHeight="1">
      <c r="C39" s="326"/>
      <c r="D39" s="338" t="s">
        <v>1156</v>
      </c>
      <c r="F39" s="320"/>
      <c r="G39" s="320"/>
      <c r="H39" s="321"/>
      <c r="I39" s="321"/>
      <c r="J39" s="320"/>
      <c r="K39" s="321"/>
    </row>
    <row r="40" ht="15.75" customHeight="1">
      <c r="C40" s="326"/>
      <c r="D40" s="327" t="s">
        <v>1157</v>
      </c>
      <c r="F40" s="328" t="s">
        <v>1158</v>
      </c>
      <c r="G40" s="320" t="s">
        <v>1159</v>
      </c>
      <c r="H40" s="320"/>
      <c r="I40" s="321"/>
      <c r="J40" s="320"/>
      <c r="K40" s="321"/>
    </row>
    <row r="41" ht="15.75" customHeight="1">
      <c r="C41" s="326"/>
      <c r="D41" s="324" t="s">
        <v>1160</v>
      </c>
      <c r="F41" s="320"/>
      <c r="G41" s="320"/>
      <c r="H41" s="321" t="s">
        <v>1161</v>
      </c>
      <c r="I41" s="321"/>
      <c r="J41" s="320"/>
      <c r="K41" s="321"/>
    </row>
    <row r="42" ht="15.75" customHeight="1">
      <c r="C42" s="326"/>
      <c r="D42" s="327" t="s">
        <v>1162</v>
      </c>
      <c r="F42" s="320"/>
      <c r="G42" s="320"/>
      <c r="H42" s="330" t="s">
        <v>1163</v>
      </c>
      <c r="I42" s="331" t="s">
        <v>1041</v>
      </c>
      <c r="J42" s="320"/>
      <c r="K42" s="321"/>
    </row>
    <row r="43" ht="15.75" customHeight="1">
      <c r="C43" s="326"/>
      <c r="D43" s="324" t="s">
        <v>1158</v>
      </c>
      <c r="F43" s="320"/>
      <c r="G43" s="320"/>
      <c r="H43" s="332" t="s">
        <v>1069</v>
      </c>
      <c r="I43" s="333" t="s">
        <v>1164</v>
      </c>
      <c r="J43" s="320"/>
      <c r="K43" s="321"/>
    </row>
    <row r="44" ht="15.75" customHeight="1">
      <c r="C44" s="326"/>
      <c r="D44" s="327" t="s">
        <v>1165</v>
      </c>
      <c r="F44" s="320"/>
      <c r="G44" s="320"/>
      <c r="H44" s="332" t="s">
        <v>1166</v>
      </c>
      <c r="I44" s="333" t="s">
        <v>1167</v>
      </c>
      <c r="J44" s="320"/>
      <c r="K44" s="321"/>
    </row>
    <row r="45" ht="15.75" customHeight="1">
      <c r="C45" s="326"/>
      <c r="D45" s="341" t="s">
        <v>1168</v>
      </c>
      <c r="F45" s="320"/>
      <c r="G45" s="320"/>
      <c r="H45" s="332" t="s">
        <v>1169</v>
      </c>
      <c r="I45" s="333" t="s">
        <v>1170</v>
      </c>
      <c r="J45" s="320"/>
      <c r="K45" s="321"/>
    </row>
    <row r="46" ht="15.75" customHeight="1">
      <c r="C46" s="323" t="s">
        <v>1171</v>
      </c>
      <c r="D46" s="327" t="s">
        <v>1172</v>
      </c>
      <c r="F46" s="320"/>
      <c r="G46" s="320"/>
      <c r="H46" s="332" t="s">
        <v>1173</v>
      </c>
      <c r="I46" s="333" t="s">
        <v>1174</v>
      </c>
      <c r="J46" s="320"/>
      <c r="K46" s="321"/>
    </row>
    <row r="47" ht="15.75" customHeight="1">
      <c r="C47" s="326"/>
      <c r="D47" s="327" t="s">
        <v>1175</v>
      </c>
      <c r="F47" s="320"/>
      <c r="G47" s="320"/>
      <c r="H47" s="332" t="s">
        <v>1176</v>
      </c>
      <c r="I47" s="333" t="s">
        <v>1177</v>
      </c>
      <c r="J47" s="320"/>
      <c r="K47" s="321"/>
    </row>
    <row r="48" ht="15.75" customHeight="1">
      <c r="C48" s="233"/>
      <c r="D48" s="327" t="s">
        <v>1178</v>
      </c>
      <c r="F48" s="320"/>
      <c r="G48" s="320"/>
      <c r="H48" s="334" t="s">
        <v>1179</v>
      </c>
      <c r="I48" s="335" t="s">
        <v>1180</v>
      </c>
      <c r="J48" s="320"/>
      <c r="K48" s="321"/>
    </row>
    <row r="49" ht="15.75" customHeight="1">
      <c r="C49" s="317"/>
      <c r="F49" s="328" t="s">
        <v>1165</v>
      </c>
      <c r="G49" s="320" t="s">
        <v>1181</v>
      </c>
      <c r="H49" s="321"/>
      <c r="I49" s="321"/>
      <c r="J49" s="320"/>
      <c r="K49" s="321"/>
    </row>
    <row r="50" ht="15.75" customHeight="1">
      <c r="C50" s="317"/>
      <c r="D50" s="342"/>
      <c r="F50" s="320"/>
      <c r="G50" s="320"/>
      <c r="H50" s="321" t="s">
        <v>1182</v>
      </c>
      <c r="I50" s="321"/>
      <c r="J50" s="320"/>
      <c r="K50" s="321"/>
    </row>
    <row r="51" ht="15.75" customHeight="1">
      <c r="C51" s="317"/>
      <c r="D51" s="342"/>
      <c r="F51" s="320"/>
      <c r="G51" s="320"/>
      <c r="H51" s="330" t="s">
        <v>1183</v>
      </c>
      <c r="I51" s="331" t="s">
        <v>1041</v>
      </c>
      <c r="J51" s="320"/>
      <c r="K51" s="321"/>
    </row>
    <row r="52" ht="15.75" customHeight="1">
      <c r="C52" s="317"/>
      <c r="D52" s="342"/>
      <c r="F52" s="320"/>
      <c r="G52" s="320"/>
      <c r="H52" s="332" t="s">
        <v>1184</v>
      </c>
      <c r="I52" s="333" t="s">
        <v>1185</v>
      </c>
      <c r="J52" s="320"/>
      <c r="K52" s="321"/>
    </row>
    <row r="53" ht="15.75" customHeight="1">
      <c r="C53" s="343" t="s">
        <v>1186</v>
      </c>
      <c r="D53" s="344" t="s">
        <v>1187</v>
      </c>
      <c r="E53" s="327" t="s">
        <v>1188</v>
      </c>
      <c r="F53" s="320"/>
      <c r="G53" s="320"/>
      <c r="H53" s="332" t="s">
        <v>1189</v>
      </c>
      <c r="I53" s="333" t="s">
        <v>1190</v>
      </c>
      <c r="J53" s="320"/>
      <c r="K53" s="321"/>
    </row>
    <row r="54" ht="15.75" customHeight="1">
      <c r="C54" s="345" t="s">
        <v>1191</v>
      </c>
      <c r="D54" s="346" t="s">
        <v>1192</v>
      </c>
      <c r="E54" s="327">
        <v>0.9</v>
      </c>
      <c r="F54" s="320"/>
      <c r="G54" s="320"/>
      <c r="H54" s="332" t="s">
        <v>1193</v>
      </c>
      <c r="I54" s="333" t="s">
        <v>1194</v>
      </c>
      <c r="J54" s="320"/>
      <c r="K54" s="321"/>
    </row>
    <row r="55" ht="15.75" customHeight="1">
      <c r="C55" s="345" t="s">
        <v>1195</v>
      </c>
      <c r="D55" s="346" t="s">
        <v>1196</v>
      </c>
      <c r="E55" s="327">
        <v>1.1</v>
      </c>
      <c r="F55" s="320"/>
      <c r="G55" s="320"/>
      <c r="H55" s="332" t="s">
        <v>1197</v>
      </c>
      <c r="I55" s="333" t="s">
        <v>1198</v>
      </c>
      <c r="J55" s="320"/>
      <c r="K55" s="321"/>
    </row>
    <row r="56" ht="57.75" customHeight="1">
      <c r="C56" s="343" t="s">
        <v>1199</v>
      </c>
      <c r="D56" s="346" t="s">
        <v>1200</v>
      </c>
      <c r="E56" s="327">
        <v>1.0</v>
      </c>
      <c r="F56" s="320"/>
      <c r="G56" s="320"/>
      <c r="H56" s="334" t="s">
        <v>1201</v>
      </c>
      <c r="I56" s="335" t="s">
        <v>1180</v>
      </c>
      <c r="J56" s="320"/>
      <c r="K56" s="321"/>
    </row>
    <row r="57" ht="60.0" customHeight="1">
      <c r="C57" s="343" t="s">
        <v>1202</v>
      </c>
      <c r="D57" s="346" t="s">
        <v>1203</v>
      </c>
      <c r="E57" s="327">
        <v>0.8</v>
      </c>
      <c r="F57" s="328" t="s">
        <v>1204</v>
      </c>
      <c r="G57" s="320" t="s">
        <v>1205</v>
      </c>
      <c r="H57" s="321"/>
      <c r="I57" s="321"/>
      <c r="J57" s="321"/>
      <c r="K57" s="321"/>
    </row>
    <row r="58" ht="15.75" customHeight="1">
      <c r="C58" s="343" t="s">
        <v>1206</v>
      </c>
      <c r="D58" s="346" t="s">
        <v>1207</v>
      </c>
      <c r="E58" s="327">
        <v>1.0</v>
      </c>
      <c r="F58" s="320"/>
      <c r="G58" s="320"/>
      <c r="H58" s="330" t="s">
        <v>1208</v>
      </c>
      <c r="I58" s="347" t="s">
        <v>1209</v>
      </c>
      <c r="J58" s="347" t="s">
        <v>1210</v>
      </c>
      <c r="K58" s="331" t="s">
        <v>1211</v>
      </c>
      <c r="L58" s="347" t="s">
        <v>1212</v>
      </c>
    </row>
    <row r="59" ht="15.75" customHeight="1">
      <c r="C59" s="343" t="s">
        <v>1213</v>
      </c>
      <c r="D59" s="346" t="s">
        <v>1214</v>
      </c>
      <c r="E59" s="327">
        <v>0.6</v>
      </c>
      <c r="F59" s="320"/>
      <c r="G59" s="320"/>
      <c r="H59" s="332" t="s">
        <v>1215</v>
      </c>
      <c r="I59" s="348" t="s">
        <v>1216</v>
      </c>
      <c r="J59" s="349" t="s">
        <v>1217</v>
      </c>
      <c r="K59" s="333" t="s">
        <v>1217</v>
      </c>
      <c r="L59" s="350" t="s">
        <v>1218</v>
      </c>
    </row>
    <row r="60" ht="15.75" customHeight="1">
      <c r="C60" s="343" t="s">
        <v>1219</v>
      </c>
      <c r="D60" s="346" t="s">
        <v>1220</v>
      </c>
      <c r="E60" s="327">
        <v>0.7</v>
      </c>
      <c r="F60" s="320"/>
      <c r="G60" s="320"/>
      <c r="H60" s="332" t="s">
        <v>1221</v>
      </c>
      <c r="I60" s="349" t="s">
        <v>1222</v>
      </c>
      <c r="J60" s="349" t="s">
        <v>1223</v>
      </c>
      <c r="K60" s="333" t="s">
        <v>1217</v>
      </c>
      <c r="L60" s="157"/>
    </row>
    <row r="61" ht="15.75" customHeight="1">
      <c r="C61" s="343" t="s">
        <v>1224</v>
      </c>
      <c r="D61" s="346" t="s">
        <v>1225</v>
      </c>
      <c r="E61" s="327">
        <v>0.6</v>
      </c>
      <c r="F61" s="320"/>
      <c r="G61" s="320"/>
      <c r="H61" s="332" t="s">
        <v>1226</v>
      </c>
      <c r="I61" s="349" t="s">
        <v>1227</v>
      </c>
      <c r="J61" s="349" t="s">
        <v>1227</v>
      </c>
      <c r="K61" s="333" t="s">
        <v>1217</v>
      </c>
      <c r="L61" s="157"/>
    </row>
    <row r="62" ht="15.75" customHeight="1">
      <c r="C62" s="343" t="s">
        <v>1228</v>
      </c>
      <c r="D62" s="346" t="s">
        <v>1229</v>
      </c>
      <c r="E62" s="327">
        <v>0.5</v>
      </c>
      <c r="F62" s="320"/>
      <c r="G62" s="320"/>
      <c r="H62" s="332" t="s">
        <v>1230</v>
      </c>
      <c r="I62" s="349" t="s">
        <v>1223</v>
      </c>
      <c r="J62" s="349" t="s">
        <v>1231</v>
      </c>
      <c r="K62" s="333" t="s">
        <v>1217</v>
      </c>
      <c r="L62" s="157"/>
    </row>
    <row r="63" ht="15.75" customHeight="1">
      <c r="C63" s="343" t="s">
        <v>1232</v>
      </c>
      <c r="D63" s="346" t="s">
        <v>1233</v>
      </c>
      <c r="E63" s="327">
        <v>0.4</v>
      </c>
      <c r="F63" s="320"/>
      <c r="G63" s="320"/>
      <c r="H63" s="332" t="s">
        <v>1234</v>
      </c>
      <c r="I63" s="349" t="s">
        <v>1235</v>
      </c>
      <c r="J63" s="349" t="s">
        <v>1235</v>
      </c>
      <c r="K63" s="333" t="s">
        <v>1236</v>
      </c>
      <c r="L63" s="157"/>
    </row>
    <row r="64" ht="15.75" customHeight="1">
      <c r="C64" s="343" t="s">
        <v>1237</v>
      </c>
      <c r="D64" s="346" t="s">
        <v>1238</v>
      </c>
      <c r="E64" s="327">
        <v>0.6</v>
      </c>
      <c r="F64" s="320"/>
      <c r="G64" s="320"/>
      <c r="H64" s="332" t="s">
        <v>1239</v>
      </c>
      <c r="I64" s="349" t="s">
        <v>1240</v>
      </c>
      <c r="J64" s="349" t="s">
        <v>1217</v>
      </c>
      <c r="K64" s="333" t="s">
        <v>1227</v>
      </c>
      <c r="L64" s="157"/>
    </row>
    <row r="65" ht="15.75" customHeight="1">
      <c r="C65" s="343" t="s">
        <v>1241</v>
      </c>
      <c r="D65" s="346" t="s">
        <v>1242</v>
      </c>
      <c r="E65" s="327">
        <v>0.6</v>
      </c>
      <c r="F65" s="320"/>
      <c r="G65" s="320"/>
      <c r="H65" s="332" t="s">
        <v>1243</v>
      </c>
      <c r="I65" s="349" t="s">
        <v>1217</v>
      </c>
      <c r="J65" s="349" t="s">
        <v>1240</v>
      </c>
      <c r="K65" s="333" t="s">
        <v>1227</v>
      </c>
      <c r="L65" s="157"/>
    </row>
    <row r="66" ht="15.75" customHeight="1">
      <c r="C66" s="343" t="s">
        <v>1244</v>
      </c>
      <c r="D66" s="346" t="s">
        <v>1245</v>
      </c>
      <c r="E66" s="327">
        <v>0.9</v>
      </c>
      <c r="F66" s="320"/>
      <c r="G66" s="320"/>
      <c r="H66" s="334" t="s">
        <v>1246</v>
      </c>
      <c r="I66" s="351" t="s">
        <v>1223</v>
      </c>
      <c r="J66" s="351" t="s">
        <v>1223</v>
      </c>
      <c r="K66" s="352" t="s">
        <v>1231</v>
      </c>
      <c r="L66" s="157"/>
    </row>
    <row r="67" ht="15.75" customHeight="1">
      <c r="C67" s="343" t="s">
        <v>1247</v>
      </c>
      <c r="D67" s="346" t="s">
        <v>1248</v>
      </c>
      <c r="E67" s="327">
        <v>1.0</v>
      </c>
      <c r="F67" s="328" t="s">
        <v>1172</v>
      </c>
      <c r="G67" s="320" t="s">
        <v>1249</v>
      </c>
      <c r="H67" s="321"/>
      <c r="I67" s="321"/>
      <c r="J67" s="42"/>
      <c r="K67" s="321"/>
    </row>
    <row r="68" ht="15.75" customHeight="1">
      <c r="C68" s="343" t="s">
        <v>1250</v>
      </c>
      <c r="D68" s="346" t="s">
        <v>1251</v>
      </c>
      <c r="E68" s="327">
        <v>1.1</v>
      </c>
      <c r="F68" s="320"/>
      <c r="G68" s="320"/>
      <c r="H68" s="330" t="s">
        <v>1252</v>
      </c>
      <c r="I68" s="331" t="s">
        <v>1041</v>
      </c>
      <c r="J68" s="320"/>
      <c r="K68" s="321"/>
    </row>
    <row r="69" ht="15.75" customHeight="1">
      <c r="C69" s="317"/>
      <c r="F69" s="320"/>
      <c r="G69" s="320"/>
      <c r="H69" s="332" t="s">
        <v>1253</v>
      </c>
      <c r="I69" s="333" t="s">
        <v>1046</v>
      </c>
      <c r="J69" s="320"/>
      <c r="K69" s="321"/>
    </row>
    <row r="70" ht="15.75" customHeight="1">
      <c r="C70" s="317"/>
      <c r="F70" s="320"/>
      <c r="G70" s="320"/>
      <c r="H70" s="332" t="s">
        <v>1254</v>
      </c>
      <c r="I70" s="333" t="s">
        <v>1080</v>
      </c>
      <c r="J70" s="320"/>
      <c r="K70" s="321"/>
    </row>
    <row r="71" ht="15.75" customHeight="1">
      <c r="C71" s="317"/>
      <c r="F71" s="320"/>
      <c r="G71" s="320"/>
      <c r="H71" s="334" t="s">
        <v>1255</v>
      </c>
      <c r="I71" s="335" t="s">
        <v>1056</v>
      </c>
      <c r="J71" s="320"/>
      <c r="K71" s="321"/>
    </row>
    <row r="72" ht="15.75" customHeight="1">
      <c r="C72" s="317"/>
      <c r="F72" s="328" t="s">
        <v>1168</v>
      </c>
      <c r="G72" s="320" t="s">
        <v>1256</v>
      </c>
      <c r="H72" s="320"/>
      <c r="I72" s="321"/>
      <c r="J72" s="320"/>
      <c r="K72" s="321"/>
    </row>
    <row r="73" ht="15.75" customHeight="1">
      <c r="C73" s="317"/>
      <c r="F73" s="320"/>
      <c r="G73" s="320"/>
      <c r="H73" s="330" t="s">
        <v>1257</v>
      </c>
      <c r="I73" s="331" t="s">
        <v>1041</v>
      </c>
      <c r="J73" s="320"/>
      <c r="K73" s="321"/>
    </row>
    <row r="74" ht="15.75" customHeight="1">
      <c r="C74" s="317"/>
      <c r="F74" s="353"/>
      <c r="G74" s="320"/>
      <c r="H74" s="332" t="s">
        <v>1258</v>
      </c>
      <c r="I74" s="333" t="s">
        <v>1046</v>
      </c>
      <c r="J74" s="320"/>
      <c r="K74" s="321"/>
    </row>
    <row r="75" ht="15.75" customHeight="1">
      <c r="C75" s="317"/>
      <c r="F75" s="353"/>
      <c r="G75" s="320"/>
      <c r="H75" s="354" t="s">
        <v>1259</v>
      </c>
      <c r="I75" s="333" t="s">
        <v>1080</v>
      </c>
      <c r="J75" s="320"/>
      <c r="K75" s="321"/>
    </row>
    <row r="76" ht="15.75" customHeight="1">
      <c r="C76" s="317"/>
      <c r="F76" s="353"/>
      <c r="G76" s="320"/>
      <c r="H76" s="334" t="s">
        <v>1260</v>
      </c>
      <c r="I76" s="335" t="s">
        <v>1056</v>
      </c>
      <c r="J76" s="320"/>
      <c r="K76" s="321"/>
    </row>
    <row r="77" ht="15.75" customHeight="1">
      <c r="C77" s="317"/>
      <c r="F77" s="355" t="s">
        <v>1154</v>
      </c>
      <c r="G77" s="320" t="s">
        <v>1261</v>
      </c>
      <c r="H77" s="321"/>
      <c r="I77" s="321"/>
      <c r="J77" s="320"/>
      <c r="K77" s="321"/>
    </row>
    <row r="78" ht="15.75" customHeight="1">
      <c r="C78" s="317"/>
      <c r="F78" s="320"/>
      <c r="G78" s="320"/>
      <c r="H78" s="356" t="s">
        <v>1262</v>
      </c>
      <c r="I78" s="331" t="s">
        <v>1041</v>
      </c>
      <c r="J78" s="320"/>
      <c r="K78" s="321"/>
      <c r="L78" s="42" t="s">
        <v>1263</v>
      </c>
    </row>
    <row r="79" ht="15.75" customHeight="1">
      <c r="C79" s="317"/>
      <c r="F79" s="320"/>
      <c r="G79" s="320"/>
      <c r="H79" s="349" t="s">
        <v>1264</v>
      </c>
      <c r="I79" s="349" t="s">
        <v>1265</v>
      </c>
      <c r="J79" s="320"/>
      <c r="K79" s="320"/>
    </row>
    <row r="80" ht="15.75" customHeight="1">
      <c r="C80" s="317"/>
      <c r="F80" s="320"/>
      <c r="G80" s="320"/>
      <c r="H80" s="349" t="s">
        <v>1266</v>
      </c>
      <c r="I80" s="349" t="s">
        <v>1267</v>
      </c>
      <c r="J80" s="320"/>
      <c r="K80" s="320"/>
    </row>
    <row r="81" ht="15.75" customHeight="1">
      <c r="C81" s="317"/>
      <c r="F81" s="320"/>
      <c r="G81" s="320"/>
      <c r="H81" s="349" t="s">
        <v>1268</v>
      </c>
      <c r="I81" s="349" t="s">
        <v>1269</v>
      </c>
      <c r="J81" s="320"/>
      <c r="K81" s="320"/>
    </row>
    <row r="82" ht="15.75" customHeight="1">
      <c r="C82" s="317"/>
      <c r="F82" s="320"/>
      <c r="G82" s="320"/>
      <c r="H82" s="349" t="s">
        <v>1270</v>
      </c>
      <c r="I82" s="349" t="s">
        <v>1271</v>
      </c>
      <c r="J82" s="320"/>
      <c r="K82" s="320"/>
    </row>
    <row r="83" ht="15.75" customHeight="1">
      <c r="C83" s="317"/>
      <c r="F83" s="320"/>
      <c r="G83" s="320"/>
      <c r="H83" s="349" t="s">
        <v>1272</v>
      </c>
      <c r="I83" s="349" t="s">
        <v>1273</v>
      </c>
      <c r="J83" s="320"/>
      <c r="K83" s="320"/>
    </row>
    <row r="84" ht="15.75" customHeight="1">
      <c r="C84" s="317"/>
      <c r="F84" s="320"/>
      <c r="G84" s="320" t="s">
        <v>1274</v>
      </c>
      <c r="H84" s="320"/>
      <c r="I84" s="321"/>
      <c r="J84" s="320"/>
      <c r="K84" s="320"/>
    </row>
    <row r="85" ht="15.75" customHeight="1">
      <c r="C85" s="317"/>
      <c r="F85" s="328" t="s">
        <v>1275</v>
      </c>
      <c r="G85" s="320"/>
      <c r="H85" s="321" t="s">
        <v>1276</v>
      </c>
      <c r="I85" s="321"/>
      <c r="J85" s="320"/>
      <c r="K85" s="320"/>
    </row>
    <row r="86" ht="15.75" customHeight="1">
      <c r="C86" s="317"/>
      <c r="F86" s="320"/>
      <c r="G86" s="320"/>
      <c r="H86" s="330" t="s">
        <v>1277</v>
      </c>
      <c r="I86" s="331" t="s">
        <v>1041</v>
      </c>
      <c r="J86" s="320"/>
      <c r="K86" s="320"/>
    </row>
    <row r="87" ht="15.75" customHeight="1">
      <c r="C87" s="317"/>
      <c r="F87" s="320"/>
      <c r="G87" s="320"/>
      <c r="H87" s="332" t="s">
        <v>1278</v>
      </c>
      <c r="I87" s="333" t="s">
        <v>1046</v>
      </c>
      <c r="J87" s="320"/>
      <c r="K87" s="320"/>
    </row>
    <row r="88" ht="15.75" customHeight="1">
      <c r="C88" s="317"/>
      <c r="F88" s="320"/>
      <c r="G88" s="320"/>
      <c r="H88" s="332" t="s">
        <v>1279</v>
      </c>
      <c r="I88" s="333" t="s">
        <v>1080</v>
      </c>
      <c r="J88" s="320"/>
      <c r="K88" s="320"/>
    </row>
    <row r="89" ht="15.75" customHeight="1">
      <c r="C89" s="317"/>
      <c r="F89" s="320"/>
      <c r="G89" s="320"/>
      <c r="H89" s="332" t="s">
        <v>1280</v>
      </c>
      <c r="I89" s="333" t="s">
        <v>1056</v>
      </c>
      <c r="J89" s="320"/>
      <c r="K89" s="320"/>
    </row>
    <row r="90" ht="15.75" customHeight="1">
      <c r="C90" s="317"/>
      <c r="F90" s="320"/>
      <c r="G90" s="320"/>
      <c r="H90" s="334" t="s">
        <v>1281</v>
      </c>
      <c r="I90" s="335" t="s">
        <v>1282</v>
      </c>
      <c r="J90" s="320"/>
      <c r="K90" s="320"/>
    </row>
    <row r="91" ht="15.75" customHeight="1">
      <c r="C91" s="317"/>
      <c r="F91" s="328" t="s">
        <v>1129</v>
      </c>
      <c r="G91" s="320" t="s">
        <v>1283</v>
      </c>
      <c r="H91" s="320"/>
      <c r="I91" s="321"/>
      <c r="J91" s="320"/>
      <c r="K91" s="320"/>
    </row>
    <row r="92" ht="15.75" customHeight="1">
      <c r="C92" s="317"/>
      <c r="F92" s="320"/>
      <c r="G92" s="320"/>
      <c r="H92" s="321" t="s">
        <v>1284</v>
      </c>
      <c r="I92" s="321"/>
      <c r="J92" s="320"/>
      <c r="K92" s="320"/>
    </row>
    <row r="93" ht="15.75" customHeight="1">
      <c r="C93" s="317"/>
      <c r="F93" s="320"/>
      <c r="G93" s="320"/>
      <c r="H93" s="330" t="s">
        <v>1285</v>
      </c>
      <c r="I93" s="331" t="s">
        <v>1041</v>
      </c>
      <c r="J93" s="320"/>
      <c r="K93" s="320"/>
    </row>
    <row r="94" ht="15.75" customHeight="1">
      <c r="C94" s="317"/>
      <c r="F94" s="320"/>
      <c r="G94" s="320"/>
      <c r="H94" s="332" t="s">
        <v>1286</v>
      </c>
      <c r="I94" s="333" t="s">
        <v>1046</v>
      </c>
      <c r="J94" s="320"/>
      <c r="K94" s="320"/>
    </row>
    <row r="95" ht="15.75" customHeight="1">
      <c r="C95" s="317"/>
      <c r="F95" s="320"/>
      <c r="G95" s="320"/>
      <c r="H95" s="332" t="s">
        <v>1287</v>
      </c>
      <c r="I95" s="333" t="s">
        <v>1080</v>
      </c>
      <c r="J95" s="320"/>
      <c r="K95" s="320"/>
    </row>
    <row r="96" ht="15.75" customHeight="1">
      <c r="C96" s="317"/>
      <c r="F96" s="320"/>
      <c r="G96" s="320"/>
      <c r="H96" s="332" t="s">
        <v>1288</v>
      </c>
      <c r="I96" s="333" t="s">
        <v>1056</v>
      </c>
      <c r="J96" s="320"/>
      <c r="K96" s="320"/>
    </row>
    <row r="97" ht="15.75" customHeight="1">
      <c r="C97" s="317"/>
      <c r="F97" s="320"/>
      <c r="G97" s="320"/>
      <c r="H97" s="334" t="s">
        <v>1289</v>
      </c>
      <c r="I97" s="335" t="s">
        <v>1282</v>
      </c>
      <c r="J97" s="320"/>
      <c r="K97" s="320"/>
    </row>
    <row r="98" ht="15.75" customHeight="1">
      <c r="C98" s="317"/>
      <c r="F98" s="328" t="s">
        <v>1121</v>
      </c>
      <c r="G98" s="320" t="s">
        <v>1290</v>
      </c>
      <c r="H98" s="320"/>
      <c r="I98" s="321"/>
      <c r="J98" s="320"/>
      <c r="K98" s="320"/>
    </row>
    <row r="99" ht="15.75" customHeight="1">
      <c r="C99" s="317"/>
      <c r="F99" s="320"/>
      <c r="G99" s="320"/>
      <c r="H99" s="330" t="s">
        <v>1291</v>
      </c>
      <c r="I99" s="331" t="s">
        <v>1041</v>
      </c>
      <c r="J99" s="320"/>
      <c r="K99" s="320"/>
    </row>
    <row r="100" ht="15.75" customHeight="1">
      <c r="C100" s="317"/>
      <c r="F100" s="320"/>
      <c r="G100" s="320"/>
      <c r="H100" s="332" t="s">
        <v>1292</v>
      </c>
      <c r="I100" s="333" t="s">
        <v>1293</v>
      </c>
      <c r="J100" s="320"/>
      <c r="K100" s="320"/>
    </row>
    <row r="101" ht="15.75" customHeight="1">
      <c r="C101" s="317"/>
      <c r="F101" s="320"/>
      <c r="G101" s="320"/>
      <c r="H101" s="332" t="s">
        <v>1294</v>
      </c>
      <c r="I101" s="333" t="s">
        <v>1295</v>
      </c>
      <c r="J101" s="320"/>
      <c r="K101" s="320"/>
    </row>
    <row r="102" ht="15.75" customHeight="1">
      <c r="C102" s="317"/>
      <c r="F102" s="320"/>
      <c r="G102" s="320"/>
      <c r="H102" s="332" t="s">
        <v>1296</v>
      </c>
      <c r="I102" s="333" t="s">
        <v>1297</v>
      </c>
      <c r="J102" s="320"/>
      <c r="K102" s="320"/>
    </row>
    <row r="103" ht="15.75" customHeight="1">
      <c r="C103" s="317"/>
      <c r="F103" s="320"/>
      <c r="G103" s="320"/>
      <c r="H103" s="332" t="s">
        <v>1298</v>
      </c>
      <c r="I103" s="333" t="s">
        <v>1299</v>
      </c>
      <c r="J103" s="320"/>
      <c r="K103" s="320"/>
    </row>
    <row r="104" ht="15.75" customHeight="1">
      <c r="C104" s="317"/>
      <c r="F104" s="320"/>
      <c r="G104" s="320"/>
      <c r="H104" s="334" t="s">
        <v>1300</v>
      </c>
      <c r="I104" s="335" t="s">
        <v>1301</v>
      </c>
      <c r="J104" s="320"/>
      <c r="K104" s="320"/>
    </row>
    <row r="105" ht="15.75" customHeight="1">
      <c r="C105" s="317"/>
      <c r="F105" s="328" t="s">
        <v>1302</v>
      </c>
      <c r="G105" s="320" t="s">
        <v>1302</v>
      </c>
      <c r="H105" s="321"/>
      <c r="I105" s="321"/>
      <c r="J105" s="320"/>
      <c r="K105" s="321"/>
    </row>
    <row r="106" ht="15.75" customHeight="1">
      <c r="C106" s="317"/>
      <c r="F106" s="320"/>
      <c r="G106" s="320"/>
      <c r="H106" s="330" t="s">
        <v>1303</v>
      </c>
      <c r="I106" s="331" t="s">
        <v>1041</v>
      </c>
      <c r="J106" s="320"/>
      <c r="K106" s="321"/>
    </row>
    <row r="107" ht="15.75" customHeight="1">
      <c r="C107" s="317"/>
      <c r="F107" s="320"/>
      <c r="G107" s="320"/>
      <c r="H107" s="332" t="s">
        <v>1304</v>
      </c>
      <c r="I107" s="333" t="s">
        <v>1305</v>
      </c>
      <c r="J107" s="320"/>
      <c r="K107" s="321"/>
    </row>
    <row r="108" ht="15.75" customHeight="1">
      <c r="C108" s="317"/>
      <c r="F108" s="320"/>
      <c r="G108" s="320"/>
      <c r="H108" s="332" t="s">
        <v>1306</v>
      </c>
      <c r="I108" s="333" t="s">
        <v>1080</v>
      </c>
      <c r="J108" s="320"/>
      <c r="K108" s="321"/>
    </row>
    <row r="109" ht="15.75" customHeight="1">
      <c r="C109" s="317"/>
      <c r="F109" s="320"/>
      <c r="G109" s="320"/>
      <c r="H109" s="332" t="s">
        <v>1307</v>
      </c>
      <c r="I109" s="333" t="s">
        <v>1308</v>
      </c>
      <c r="J109" s="320"/>
      <c r="K109" s="321"/>
    </row>
    <row r="110" ht="15.75" customHeight="1">
      <c r="C110" s="317"/>
    </row>
    <row r="111" ht="15.75" customHeight="1">
      <c r="C111" s="317"/>
    </row>
    <row r="112" ht="15.75" customHeight="1">
      <c r="C112" s="317"/>
    </row>
    <row r="113" ht="15.75" customHeight="1">
      <c r="C113" s="317"/>
    </row>
    <row r="114" ht="15.75" customHeight="1">
      <c r="C114" s="317"/>
    </row>
    <row r="115" ht="15.75" customHeight="1">
      <c r="C115" s="317"/>
    </row>
    <row r="116" ht="15.75" customHeight="1">
      <c r="C116" s="317"/>
    </row>
    <row r="117" ht="15.75" customHeight="1">
      <c r="C117" s="317"/>
    </row>
    <row r="118" ht="15.75" customHeight="1">
      <c r="C118" s="317"/>
    </row>
    <row r="119" ht="15.75" customHeight="1">
      <c r="C119" s="317"/>
    </row>
    <row r="120" ht="15.75" customHeight="1">
      <c r="C120" s="317"/>
    </row>
    <row r="121" ht="15.75" customHeight="1">
      <c r="C121" s="317"/>
    </row>
    <row r="122" ht="15.75" customHeight="1">
      <c r="C122" s="317"/>
    </row>
    <row r="123" ht="15.75" customHeight="1">
      <c r="C123" s="317"/>
    </row>
    <row r="124" ht="15.75" customHeight="1">
      <c r="C124" s="317"/>
    </row>
    <row r="125" ht="15.75" customHeight="1">
      <c r="C125" s="317"/>
    </row>
    <row r="126" ht="15.75" customHeight="1">
      <c r="C126" s="317"/>
    </row>
    <row r="127" ht="15.75" customHeight="1">
      <c r="C127" s="317"/>
    </row>
    <row r="128" ht="15.75" customHeight="1">
      <c r="C128" s="317"/>
    </row>
    <row r="129" ht="15.75" customHeight="1">
      <c r="C129" s="317"/>
    </row>
    <row r="130" ht="15.75" customHeight="1">
      <c r="C130" s="317"/>
    </row>
    <row r="131" ht="15.75" customHeight="1">
      <c r="C131" s="317"/>
    </row>
    <row r="132" ht="15.75" customHeight="1">
      <c r="C132" s="317"/>
    </row>
    <row r="133" ht="15.75" customHeight="1">
      <c r="C133" s="317"/>
    </row>
    <row r="134" ht="15.75" customHeight="1">
      <c r="C134" s="317"/>
    </row>
    <row r="135" ht="15.75" customHeight="1">
      <c r="C135" s="317"/>
    </row>
    <row r="136" ht="15.75" customHeight="1">
      <c r="C136" s="317"/>
    </row>
    <row r="137" ht="15.75" customHeight="1">
      <c r="C137" s="317"/>
    </row>
    <row r="138" ht="15.75" customHeight="1">
      <c r="C138" s="317"/>
    </row>
    <row r="139" ht="15.75" customHeight="1">
      <c r="C139" s="317"/>
    </row>
    <row r="140" ht="15.75" customHeight="1">
      <c r="C140" s="317"/>
    </row>
    <row r="141" ht="15.75" customHeight="1">
      <c r="C141" s="317"/>
    </row>
    <row r="142" ht="15.75" customHeight="1">
      <c r="C142" s="317"/>
    </row>
    <row r="143" ht="15.75" customHeight="1">
      <c r="C143" s="317"/>
    </row>
    <row r="144" ht="15.75" customHeight="1">
      <c r="C144" s="317"/>
    </row>
    <row r="145" ht="15.75" customHeight="1">
      <c r="C145" s="317"/>
    </row>
    <row r="146" ht="15.75" customHeight="1">
      <c r="C146" s="317"/>
    </row>
    <row r="147" ht="15.75" customHeight="1">
      <c r="C147" s="317"/>
    </row>
    <row r="148" ht="15.75" customHeight="1">
      <c r="C148" s="317"/>
    </row>
    <row r="149" ht="15.75" customHeight="1">
      <c r="C149" s="317"/>
    </row>
    <row r="150" ht="15.75" customHeight="1">
      <c r="C150" s="317"/>
    </row>
    <row r="151" ht="15.75" customHeight="1">
      <c r="C151" s="317"/>
    </row>
    <row r="152" ht="15.75" customHeight="1">
      <c r="C152" s="317"/>
    </row>
    <row r="153" ht="15.75" customHeight="1">
      <c r="C153" s="317"/>
    </row>
    <row r="154" ht="15.75" customHeight="1">
      <c r="C154" s="317"/>
    </row>
    <row r="155" ht="15.75" customHeight="1">
      <c r="C155" s="317"/>
    </row>
    <row r="156" ht="15.75" customHeight="1">
      <c r="C156" s="317"/>
    </row>
    <row r="157" ht="15.75" customHeight="1">
      <c r="C157" s="317"/>
    </row>
    <row r="158" ht="15.75" customHeight="1">
      <c r="C158" s="317"/>
    </row>
    <row r="159" ht="15.75" customHeight="1">
      <c r="C159" s="317"/>
    </row>
    <row r="160" ht="15.75" customHeight="1">
      <c r="C160" s="317"/>
    </row>
    <row r="161" ht="15.75" customHeight="1">
      <c r="C161" s="317"/>
    </row>
    <row r="162" ht="15.75" customHeight="1">
      <c r="C162" s="317"/>
    </row>
    <row r="163" ht="15.75" customHeight="1">
      <c r="C163" s="317"/>
    </row>
    <row r="164" ht="15.75" customHeight="1">
      <c r="C164" s="317"/>
    </row>
    <row r="165" ht="15.75" customHeight="1">
      <c r="C165" s="317"/>
    </row>
    <row r="166" ht="15.75" customHeight="1">
      <c r="C166" s="317"/>
    </row>
    <row r="167" ht="15.75" customHeight="1">
      <c r="C167" s="317"/>
    </row>
    <row r="168" ht="15.75" customHeight="1">
      <c r="C168" s="317"/>
    </row>
    <row r="169" ht="15.75" customHeight="1">
      <c r="C169" s="317"/>
    </row>
    <row r="170" ht="15.75" customHeight="1">
      <c r="C170" s="317"/>
    </row>
    <row r="171" ht="15.75" customHeight="1">
      <c r="C171" s="317"/>
    </row>
    <row r="172" ht="15.75" customHeight="1">
      <c r="C172" s="317"/>
    </row>
    <row r="173" ht="15.75" customHeight="1">
      <c r="C173" s="317"/>
    </row>
    <row r="174" ht="15.75" customHeight="1">
      <c r="C174" s="317"/>
    </row>
    <row r="175" ht="15.75" customHeight="1">
      <c r="C175" s="317"/>
    </row>
    <row r="176" ht="15.75" customHeight="1">
      <c r="C176" s="317"/>
    </row>
    <row r="177" ht="15.75" customHeight="1">
      <c r="C177" s="317"/>
    </row>
    <row r="178" ht="15.75" customHeight="1">
      <c r="C178" s="317"/>
    </row>
    <row r="179" ht="15.75" customHeight="1">
      <c r="C179" s="317"/>
    </row>
    <row r="180" ht="15.75" customHeight="1">
      <c r="C180" s="317"/>
    </row>
    <row r="181" ht="15.75" customHeight="1">
      <c r="C181" s="317"/>
    </row>
    <row r="182" ht="15.75" customHeight="1">
      <c r="C182" s="317"/>
    </row>
    <row r="183" ht="15.75" customHeight="1">
      <c r="C183" s="317"/>
    </row>
    <row r="184" ht="15.75" customHeight="1">
      <c r="C184" s="317"/>
    </row>
    <row r="185" ht="15.75" customHeight="1">
      <c r="C185" s="317"/>
    </row>
    <row r="186" ht="15.75" customHeight="1">
      <c r="C186" s="317"/>
    </row>
    <row r="187" ht="15.75" customHeight="1">
      <c r="C187" s="317"/>
    </row>
    <row r="188" ht="15.75" customHeight="1">
      <c r="C188" s="317"/>
    </row>
    <row r="189" ht="15.75" customHeight="1">
      <c r="C189" s="317"/>
    </row>
    <row r="190" ht="15.75" customHeight="1">
      <c r="C190" s="317"/>
    </row>
    <row r="191" ht="15.75" customHeight="1">
      <c r="C191" s="317"/>
    </row>
    <row r="192" ht="15.75" customHeight="1">
      <c r="C192" s="317"/>
    </row>
    <row r="193" ht="15.75" customHeight="1">
      <c r="C193" s="317"/>
    </row>
    <row r="194" ht="15.75" customHeight="1">
      <c r="C194" s="317"/>
    </row>
    <row r="195" ht="15.75" customHeight="1">
      <c r="C195" s="317"/>
    </row>
    <row r="196" ht="15.75" customHeight="1">
      <c r="C196" s="317"/>
    </row>
    <row r="197" ht="15.75" customHeight="1">
      <c r="C197" s="317"/>
    </row>
    <row r="198" ht="15.75" customHeight="1">
      <c r="C198" s="317"/>
    </row>
    <row r="199" ht="15.75" customHeight="1">
      <c r="C199" s="317"/>
    </row>
    <row r="200" ht="15.75" customHeight="1">
      <c r="C200" s="317"/>
    </row>
    <row r="201" ht="15.75" customHeight="1">
      <c r="C201" s="317"/>
    </row>
    <row r="202" ht="15.75" customHeight="1">
      <c r="C202" s="317"/>
    </row>
    <row r="203" ht="15.75" customHeight="1">
      <c r="C203" s="317"/>
    </row>
    <row r="204" ht="15.75" customHeight="1">
      <c r="C204" s="317"/>
    </row>
    <row r="205" ht="15.75" customHeight="1">
      <c r="C205" s="317"/>
    </row>
    <row r="206" ht="15.75" customHeight="1">
      <c r="C206" s="317"/>
    </row>
    <row r="207" ht="15.75" customHeight="1">
      <c r="C207" s="317"/>
    </row>
    <row r="208" ht="15.75" customHeight="1">
      <c r="C208" s="317"/>
    </row>
    <row r="209" ht="15.75" customHeight="1">
      <c r="C209" s="317"/>
    </row>
    <row r="210" ht="15.75" customHeight="1">
      <c r="C210" s="317"/>
    </row>
    <row r="211" ht="15.75" customHeight="1">
      <c r="C211" s="317"/>
    </row>
    <row r="212" ht="15.75" customHeight="1">
      <c r="C212" s="317"/>
    </row>
    <row r="213" ht="15.75" customHeight="1">
      <c r="C213" s="317"/>
    </row>
    <row r="214" ht="15.75" customHeight="1">
      <c r="C214" s="317"/>
    </row>
    <row r="215" ht="15.75" customHeight="1">
      <c r="C215" s="317"/>
    </row>
    <row r="216" ht="15.75" customHeight="1">
      <c r="C216" s="317"/>
    </row>
    <row r="217" ht="15.75" customHeight="1">
      <c r="C217" s="317"/>
    </row>
    <row r="218" ht="15.75" customHeight="1">
      <c r="C218" s="317"/>
    </row>
    <row r="219" ht="15.75" customHeight="1">
      <c r="C219" s="317"/>
    </row>
    <row r="220" ht="15.75" customHeight="1">
      <c r="C220" s="317"/>
    </row>
    <row r="221" ht="15.75" customHeight="1">
      <c r="C221" s="317"/>
    </row>
    <row r="222" ht="15.75" customHeight="1">
      <c r="C222" s="317"/>
    </row>
    <row r="223" ht="15.75" customHeight="1">
      <c r="C223" s="317"/>
    </row>
    <row r="224" ht="15.75" customHeight="1">
      <c r="C224" s="317"/>
    </row>
    <row r="225" ht="15.75" customHeight="1">
      <c r="C225" s="317"/>
    </row>
    <row r="226" ht="15.75" customHeight="1">
      <c r="C226" s="317"/>
    </row>
    <row r="227" ht="15.75" customHeight="1">
      <c r="C227" s="317"/>
    </row>
    <row r="228" ht="15.75" customHeight="1">
      <c r="C228" s="317"/>
    </row>
    <row r="229" ht="15.75" customHeight="1">
      <c r="C229" s="317"/>
    </row>
    <row r="230" ht="15.75" customHeight="1">
      <c r="C230" s="317"/>
    </row>
    <row r="231" ht="15.75" customHeight="1">
      <c r="C231" s="317"/>
    </row>
    <row r="232" ht="15.75" customHeight="1">
      <c r="C232" s="317"/>
    </row>
    <row r="233" ht="15.75" customHeight="1">
      <c r="C233" s="317"/>
    </row>
    <row r="234" ht="15.75" customHeight="1">
      <c r="C234" s="317"/>
    </row>
    <row r="235" ht="15.75" customHeight="1">
      <c r="C235" s="317"/>
    </row>
    <row r="236" ht="15.75" customHeight="1">
      <c r="C236" s="317"/>
    </row>
    <row r="237" ht="15.75" customHeight="1">
      <c r="C237" s="317"/>
    </row>
    <row r="238" ht="15.75" customHeight="1">
      <c r="C238" s="317"/>
    </row>
    <row r="239" ht="15.75" customHeight="1">
      <c r="C239" s="317"/>
    </row>
    <row r="240" ht="15.75" customHeight="1">
      <c r="C240" s="317"/>
    </row>
    <row r="241" ht="15.75" customHeight="1">
      <c r="C241" s="317"/>
    </row>
    <row r="242" ht="15.75" customHeight="1">
      <c r="C242" s="317"/>
    </row>
    <row r="243" ht="15.75" customHeight="1">
      <c r="C243" s="317"/>
    </row>
    <row r="244" ht="15.75" customHeight="1">
      <c r="C244" s="317"/>
    </row>
    <row r="245" ht="15.75" customHeight="1">
      <c r="C245" s="317"/>
    </row>
    <row r="246" ht="15.75" customHeight="1">
      <c r="C246" s="317"/>
    </row>
    <row r="247" ht="15.75" customHeight="1">
      <c r="C247" s="317"/>
    </row>
    <row r="248" ht="15.75" customHeight="1">
      <c r="C248" s="317"/>
    </row>
    <row r="249" ht="15.75" customHeight="1">
      <c r="C249" s="317"/>
    </row>
    <row r="250" ht="15.75" customHeight="1">
      <c r="C250" s="317"/>
    </row>
    <row r="251" ht="15.75" customHeight="1">
      <c r="C251" s="317"/>
    </row>
    <row r="252" ht="15.75" customHeight="1">
      <c r="C252" s="317"/>
    </row>
    <row r="253" ht="15.75" customHeight="1">
      <c r="C253" s="317"/>
    </row>
    <row r="254" ht="15.75" customHeight="1">
      <c r="C254" s="317"/>
    </row>
    <row r="255" ht="15.75" customHeight="1">
      <c r="C255" s="317"/>
    </row>
    <row r="256" ht="15.75" customHeight="1">
      <c r="C256" s="317"/>
    </row>
    <row r="257" ht="15.75" customHeight="1">
      <c r="C257" s="317"/>
    </row>
    <row r="258" ht="15.75" customHeight="1">
      <c r="C258" s="317"/>
    </row>
    <row r="259" ht="15.75" customHeight="1">
      <c r="C259" s="317"/>
    </row>
    <row r="260" ht="15.75" customHeight="1">
      <c r="C260" s="317"/>
    </row>
    <row r="261" ht="15.75" customHeight="1">
      <c r="C261" s="317"/>
    </row>
    <row r="262" ht="15.75" customHeight="1">
      <c r="C262" s="317"/>
    </row>
    <row r="263" ht="15.75" customHeight="1">
      <c r="C263" s="317"/>
    </row>
    <row r="264" ht="15.75" customHeight="1">
      <c r="C264" s="317"/>
    </row>
    <row r="265" ht="15.75" customHeight="1">
      <c r="C265" s="317"/>
    </row>
    <row r="266" ht="15.75" customHeight="1">
      <c r="C266" s="317"/>
    </row>
    <row r="267" ht="15.75" customHeight="1">
      <c r="C267" s="317"/>
    </row>
    <row r="268" ht="15.75" customHeight="1">
      <c r="C268" s="317"/>
    </row>
    <row r="269" ht="15.75" customHeight="1">
      <c r="C269" s="317"/>
    </row>
    <row r="270" ht="15.75" customHeight="1">
      <c r="C270" s="317"/>
    </row>
    <row r="271" ht="15.75" customHeight="1">
      <c r="C271" s="317"/>
    </row>
    <row r="272" ht="15.75" customHeight="1">
      <c r="C272" s="317"/>
    </row>
    <row r="273" ht="15.75" customHeight="1">
      <c r="C273" s="317"/>
    </row>
    <row r="274" ht="15.75" customHeight="1">
      <c r="C274" s="317"/>
    </row>
    <row r="275" ht="15.75" customHeight="1">
      <c r="C275" s="317"/>
    </row>
    <row r="276" ht="15.75" customHeight="1">
      <c r="C276" s="317"/>
    </row>
    <row r="277" ht="15.75" customHeight="1">
      <c r="C277" s="317"/>
    </row>
    <row r="278" ht="15.75" customHeight="1">
      <c r="C278" s="317"/>
    </row>
    <row r="279" ht="15.75" customHeight="1">
      <c r="C279" s="317"/>
    </row>
    <row r="280" ht="15.75" customHeight="1">
      <c r="C280" s="317"/>
    </row>
    <row r="281" ht="15.75" customHeight="1">
      <c r="C281" s="317"/>
    </row>
    <row r="282" ht="15.75" customHeight="1">
      <c r="C282" s="317"/>
    </row>
    <row r="283" ht="15.75" customHeight="1">
      <c r="C283" s="317"/>
    </row>
    <row r="284" ht="15.75" customHeight="1">
      <c r="C284" s="317"/>
    </row>
    <row r="285" ht="15.75" customHeight="1">
      <c r="C285" s="317"/>
    </row>
    <row r="286" ht="15.75" customHeight="1">
      <c r="C286" s="317"/>
    </row>
    <row r="287" ht="15.75" customHeight="1">
      <c r="C287" s="317"/>
    </row>
    <row r="288" ht="15.75" customHeight="1">
      <c r="C288" s="317"/>
    </row>
    <row r="289" ht="15.75" customHeight="1">
      <c r="C289" s="317"/>
    </row>
    <row r="290" ht="15.75" customHeight="1">
      <c r="C290" s="317"/>
    </row>
    <row r="291" ht="15.75" customHeight="1">
      <c r="C291" s="317"/>
    </row>
    <row r="292" ht="15.75" customHeight="1">
      <c r="C292" s="317"/>
    </row>
    <row r="293" ht="15.75" customHeight="1">
      <c r="C293" s="317"/>
    </row>
    <row r="294" ht="15.75" customHeight="1">
      <c r="C294" s="317"/>
    </row>
    <row r="295" ht="15.75" customHeight="1">
      <c r="C295" s="317"/>
    </row>
    <row r="296" ht="15.75" customHeight="1">
      <c r="C296" s="317"/>
    </row>
    <row r="297" ht="15.75" customHeight="1">
      <c r="C297" s="317"/>
    </row>
    <row r="298" ht="15.75" customHeight="1">
      <c r="C298" s="317"/>
    </row>
    <row r="299" ht="15.75" customHeight="1">
      <c r="C299" s="317"/>
    </row>
    <row r="300" ht="15.75" customHeight="1">
      <c r="C300" s="317"/>
    </row>
    <row r="301" ht="15.75" customHeight="1">
      <c r="C301" s="317"/>
    </row>
    <row r="302" ht="15.75" customHeight="1">
      <c r="C302" s="317"/>
    </row>
    <row r="303" ht="15.75" customHeight="1">
      <c r="C303" s="317"/>
    </row>
    <row r="304" ht="15.75" customHeight="1">
      <c r="C304" s="317"/>
    </row>
    <row r="305" ht="15.75" customHeight="1">
      <c r="C305" s="317"/>
    </row>
    <row r="306" ht="15.75" customHeight="1">
      <c r="C306" s="317"/>
    </row>
    <row r="307" ht="15.75" customHeight="1">
      <c r="C307" s="317"/>
    </row>
    <row r="308" ht="15.75" customHeight="1">
      <c r="C308" s="317"/>
    </row>
    <row r="309" ht="15.75" customHeight="1">
      <c r="C309" s="317"/>
    </row>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3:C22"/>
    <mergeCell ref="C23:C31"/>
    <mergeCell ref="C32:C36"/>
    <mergeCell ref="C37:C45"/>
    <mergeCell ref="C46:C48"/>
  </mergeCells>
  <printOptions/>
  <pageMargins bottom="0.7480314960629921" footer="0.0" header="0.0" left="0.7086614173228347" right="0.7086614173228347" top="0.7480314960629921"/>
  <pageSetup paperSize="9" scale="50" orientation="portrait"/>
  <drawing r:id="rId1"/>
  <tableParts count="16">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s>
</worksheet>
</file>