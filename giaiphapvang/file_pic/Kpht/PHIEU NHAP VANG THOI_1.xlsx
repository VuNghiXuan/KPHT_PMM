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3176"/>
  </bookViews>
  <sheets>
    <sheet name="Phieu nhâp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G7" i="2"/>
  <c r="G5" i="2"/>
  <c r="D12" i="2" l="1"/>
  <c r="I7" i="2"/>
  <c r="I6" i="2"/>
  <c r="G12" i="2" l="1"/>
  <c r="I5" i="2"/>
  <c r="I12" i="2" l="1"/>
  <c r="J6" i="2" l="1"/>
  <c r="K6" i="2" s="1"/>
  <c r="L6" i="2" s="1"/>
  <c r="J7" i="2"/>
  <c r="K7" i="2" s="1"/>
  <c r="L7" i="2" s="1"/>
  <c r="J5" i="2"/>
  <c r="J14" i="2" l="1"/>
  <c r="K5" i="2"/>
  <c r="L5" i="2" l="1"/>
  <c r="K12" i="2"/>
</calcChain>
</file>

<file path=xl/sharedStrings.xml><?xml version="1.0" encoding="utf-8"?>
<sst xmlns="http://schemas.openxmlformats.org/spreadsheetml/2006/main" count="18" uniqueCount="16">
  <si>
    <t>Ngày Nhập</t>
  </si>
  <si>
    <t>Tuổi vàng</t>
  </si>
  <si>
    <t>Loại Vàng</t>
  </si>
  <si>
    <t>Thành tiền</t>
  </si>
  <si>
    <t>Shíp</t>
  </si>
  <si>
    <t>Giá Trị nhập</t>
  </si>
  <si>
    <t>Đơn giá/chỉ</t>
  </si>
  <si>
    <t>Vàng thỏi</t>
  </si>
  <si>
    <t>TL vàng</t>
  </si>
  <si>
    <t>Tổng cộng</t>
  </si>
  <si>
    <t>PHIẾU NHẬP HÀNG</t>
  </si>
  <si>
    <t>Kiểm tra tiền ship</t>
  </si>
  <si>
    <t>Tuổi quy</t>
  </si>
  <si>
    <t>Quy</t>
  </si>
  <si>
    <t>Làm tròn</t>
  </si>
  <si>
    <t>Đơn giá 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</si>
</sst>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0_);_(* \(#,##0.0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2" fillId="0" borderId="0" xfId="0" applyNumberFormat="1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3" fillId="2" borderId="1" xfId="0" applyNumberFormat="1" applyFont="1" applyFill="1" applyBorder="1"/>
    <xf numFmtId="164" fontId="3" fillId="0" borderId="1" xfId="1" applyNumberFormat="1" applyFont="1" applyBorder="1"/>
    <xf numFmtId="165" fontId="0" fillId="2" borderId="1" xfId="1" applyNumberFormat="1" applyFont="1" applyFill="1" applyBorder="1"/>
    <xf numFmtId="164" fontId="0" fillId="2" borderId="1" xfId="1" applyNumberFormat="1" applyFont="1" applyFill="1" applyBorder="1"/>
    <xf numFmtId="165" fontId="3" fillId="0" borderId="1" xfId="0" applyNumberFormat="1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6" fontId="0" fillId="2" borderId="1" xfId="1" applyNumberFormat="1" applyFont="1" applyFill="1" applyBorder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"/>
  <sheetViews>
    <sheetView tabSelected="1" workbookViewId="0">
      <selection activeCell="G5" sqref="G5"/>
    </sheetView>
  </sheetViews>
  <sheetFormatPr defaultRowHeight="14.4" x14ac:dyDescent="0.3"/>
  <cols>
    <col min="2" max="2" width="12.109375" customWidth="1"/>
    <col min="3" max="3" width="11.33203125" customWidth="1"/>
    <col min="7" max="7" width="10" customWidth="1"/>
    <col min="8" max="8" width="13.5546875" customWidth="1"/>
    <col min="9" max="9" width="14.109375" customWidth="1"/>
    <col min="10" max="10" width="10.5546875" customWidth="1"/>
    <col min="11" max="11" width="14.6640625" customWidth="1"/>
    <col min="12" max="12" width="12.33203125" customWidth="1"/>
  </cols>
  <sheetData>
    <row r="2" spans="2:12" ht="38.4" x14ac:dyDescent="0.7">
      <c r="B2" s="16" t="s">
        <v>10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2:12" x14ac:dyDescent="0.3">
      <c r="B4" s="2" t="s">
        <v>0</v>
      </c>
      <c r="C4" s="2" t="s">
        <v>2</v>
      </c>
      <c r="D4" s="2" t="s">
        <v>8</v>
      </c>
      <c r="E4" s="2" t="s">
        <v>1</v>
      </c>
      <c r="F4" s="2" t="s">
        <v>12</v>
      </c>
      <c r="G4" s="3" t="s">
        <v>13</v>
      </c>
      <c r="H4" s="2" t="s">
        <v>15</v>
      </c>
      <c r="I4" s="3" t="s">
        <v>3</v>
      </c>
      <c r="J4" s="4" t="s">
        <v>4</v>
      </c>
      <c r="K4" s="3" t="s">
        <v>5</v>
      </c>
      <c r="L4" s="4" t="s">
        <v>6</v>
      </c>
    </row>
    <row r="5" spans="2:12" x14ac:dyDescent="0.3">
      <c r="B5" s="5">
        <v>45828</v>
      </c>
      <c r="C5" s="6" t="s">
        <v>7</v>
      </c>
      <c r="D5" s="6">
        <v>99.947999999999993</v>
      </c>
      <c r="E5" s="6">
        <v>99.942999999999998</v>
      </c>
      <c r="F5" s="6">
        <v>95</v>
      </c>
      <c r="G5" s="18">
        <f>IF(ROUND(MOD(E5/F5*D5,1),4)=ROUND(MOD(E5/F5*D5,1),3),ROUND(E5/F5*D5,4),TRUNC(E5/F5*D5,3))</f>
        <v>105.148</v>
      </c>
      <c r="H5" s="7">
        <v>10085000</v>
      </c>
      <c r="I5" s="13">
        <f>ROUND(G5*H5,-3)</f>
        <v>1060418000</v>
      </c>
      <c r="J5" s="9">
        <f>ROUND($J$12/$I$12*I5,$J$15)</f>
        <v>99800</v>
      </c>
      <c r="K5" s="8">
        <f>I5+J5</f>
        <v>1060517800</v>
      </c>
      <c r="L5" s="9">
        <f>K5/D5</f>
        <v>10610695.561692081</v>
      </c>
    </row>
    <row r="6" spans="2:12" x14ac:dyDescent="0.3">
      <c r="B6" s="5">
        <v>45828</v>
      </c>
      <c r="C6" s="6" t="s">
        <v>7</v>
      </c>
      <c r="D6" s="6">
        <v>50.07</v>
      </c>
      <c r="E6" s="6">
        <v>99.99</v>
      </c>
      <c r="F6" s="6">
        <v>95</v>
      </c>
      <c r="G6" s="18">
        <f>IF(ROUND(MOD(E6/F6*D6,1),4)=ROUND(MOD(E6/F6*D6,1),3),ROUND(E6/F6*D6,4),TRUNC(E6/F6*D6,3))</f>
        <v>52.7</v>
      </c>
      <c r="H6" s="7">
        <v>10085000</v>
      </c>
      <c r="I6" s="13">
        <f t="shared" ref="I6:I7" si="0">ROUND(G6*H6,-3)</f>
        <v>531480000</v>
      </c>
      <c r="J6" s="9">
        <f t="shared" ref="J6:J7" si="1">ROUND($J$12/$I$12*I6,$J$15)</f>
        <v>50000</v>
      </c>
      <c r="K6" s="8">
        <f t="shared" ref="K6:K7" si="2">I6+J6</f>
        <v>531530000</v>
      </c>
      <c r="L6" s="9">
        <f>K6/D6</f>
        <v>10615737.966846416</v>
      </c>
    </row>
    <row r="7" spans="2:12" x14ac:dyDescent="0.3">
      <c r="B7" s="5">
        <v>45828</v>
      </c>
      <c r="C7" s="6" t="s">
        <v>7</v>
      </c>
      <c r="D7" s="6">
        <v>50</v>
      </c>
      <c r="E7" s="6">
        <v>99.99</v>
      </c>
      <c r="F7" s="6">
        <v>99.99</v>
      </c>
      <c r="G7" s="18">
        <f>IF(ROUND(MOD(E7/F7*D7,1),4)=ROUND(MOD(E7/F7*D7,1),3),ROUND(E7/F7*D7,4),TRUNC(E7/F7*D7,3))</f>
        <v>50</v>
      </c>
      <c r="H7" s="7">
        <v>10650000</v>
      </c>
      <c r="I7" s="13">
        <f t="shared" si="0"/>
        <v>532500000</v>
      </c>
      <c r="J7" s="9">
        <f t="shared" si="1"/>
        <v>50100</v>
      </c>
      <c r="K7" s="8">
        <f t="shared" si="2"/>
        <v>532550100</v>
      </c>
      <c r="L7" s="9">
        <f>K7/D7</f>
        <v>10651002</v>
      </c>
    </row>
    <row r="8" spans="2:12" x14ac:dyDescent="0.3">
      <c r="B8" s="5"/>
      <c r="C8" s="6"/>
      <c r="D8" s="6"/>
      <c r="E8" s="6"/>
      <c r="F8" s="6"/>
      <c r="G8" s="18"/>
      <c r="H8" s="7"/>
      <c r="I8" s="13"/>
      <c r="J8" s="9"/>
      <c r="K8" s="8"/>
      <c r="L8" s="9"/>
    </row>
    <row r="9" spans="2:12" x14ac:dyDescent="0.3">
      <c r="B9" s="5"/>
      <c r="C9" s="6"/>
      <c r="D9" s="6"/>
      <c r="E9" s="6"/>
      <c r="F9" s="6"/>
      <c r="G9" s="18"/>
      <c r="H9" s="7"/>
      <c r="I9" s="13"/>
      <c r="J9" s="9"/>
      <c r="K9" s="8"/>
      <c r="L9" s="9"/>
    </row>
    <row r="10" spans="2:12" x14ac:dyDescent="0.3">
      <c r="B10" s="5"/>
      <c r="C10" s="6"/>
      <c r="D10" s="6"/>
      <c r="E10" s="6"/>
      <c r="F10" s="6"/>
      <c r="G10" s="12"/>
      <c r="H10" s="7"/>
      <c r="I10" s="13"/>
      <c r="J10" s="9"/>
      <c r="K10" s="8"/>
      <c r="L10" s="9"/>
    </row>
    <row r="11" spans="2:12" x14ac:dyDescent="0.3">
      <c r="B11" s="5"/>
      <c r="C11" s="6"/>
      <c r="D11" s="6"/>
      <c r="E11" s="6"/>
      <c r="F11" s="6"/>
      <c r="G11" s="12"/>
      <c r="H11" s="7"/>
      <c r="I11" s="13"/>
      <c r="J11" s="9"/>
      <c r="K11" s="8"/>
      <c r="L11" s="9"/>
    </row>
    <row r="12" spans="2:12" x14ac:dyDescent="0.3">
      <c r="B12" s="6"/>
      <c r="C12" s="2" t="s">
        <v>9</v>
      </c>
      <c r="D12" s="2">
        <f>SUM(D5:D11)</f>
        <v>200.018</v>
      </c>
      <c r="E12" s="2"/>
      <c r="F12" s="2"/>
      <c r="G12" s="14">
        <f>SUM(G5:G11)</f>
        <v>207.84800000000001</v>
      </c>
      <c r="H12" s="2"/>
      <c r="I12" s="10">
        <f>SUM(I5:I11)</f>
        <v>2124398000</v>
      </c>
      <c r="J12" s="11">
        <v>200000</v>
      </c>
      <c r="K12" s="10">
        <f>SUM(K5:K11)</f>
        <v>2124597900</v>
      </c>
      <c r="L12" s="6"/>
    </row>
    <row r="14" spans="2:12" x14ac:dyDescent="0.3">
      <c r="H14" s="17" t="s">
        <v>11</v>
      </c>
      <c r="I14" s="17"/>
      <c r="J14" s="1">
        <f>SUM(J5:J11)</f>
        <v>199900</v>
      </c>
    </row>
    <row r="15" spans="2:12" x14ac:dyDescent="0.3">
      <c r="I15" s="15" t="s">
        <v>14</v>
      </c>
      <c r="J15" s="15">
        <v>-2</v>
      </c>
    </row>
    <row r="16" spans="2:12" x14ac:dyDescent="0.3">
      <c r="I16" s="15"/>
      <c r="J16" s="15"/>
    </row>
    <row r="17" spans="7:7" x14ac:dyDescent="0.3">
      <c r="G17" s="19"/>
    </row>
  </sheetData>
  <mergeCells count="2">
    <mergeCell ref="B2:L2"/>
    <mergeCell ref="H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nhâp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ViTinh TTC</dc:creator>
  <cp:lastModifiedBy>Admin</cp:lastModifiedBy>
  <dcterms:created xsi:type="dcterms:W3CDTF">2025-06-20T07:53:37Z</dcterms:created>
  <dcterms:modified xsi:type="dcterms:W3CDTF">2025-06-21T05:49:13Z</dcterms:modified>
</cp:coreProperties>
</file>