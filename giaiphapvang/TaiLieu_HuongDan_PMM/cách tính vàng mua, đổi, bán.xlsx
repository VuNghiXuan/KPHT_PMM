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anhVu\kpht\TaiLieu_HuongDan_PMM\"/>
    </mc:Choice>
  </mc:AlternateContent>
  <xr:revisionPtr revIDLastSave="0" documentId="13_ncr:1_{9B2D3A85-7252-4B27-8A91-645F6B61A6D5}" xr6:coauthVersionLast="47" xr6:coauthVersionMax="47" xr10:uidLastSave="{00000000-0000-0000-0000-000000000000}"/>
  <bookViews>
    <workbookView xWindow="-120" yWindow="-120" windowWidth="29040" windowHeight="15720" activeTab="1" xr2:uid="{C157C43C-9676-4C6C-B880-AF34D9DAC240}"/>
  </bookViews>
  <sheets>
    <sheet name="Sheet1" sheetId="1" r:id="rId1"/>
    <sheet name="MeM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E41" i="1"/>
  <c r="E40" i="1"/>
  <c r="F40" i="1" s="1"/>
  <c r="F41" i="1"/>
  <c r="F26" i="1"/>
  <c r="G26" i="1" s="1"/>
  <c r="H26" i="1" s="1"/>
  <c r="E27" i="1"/>
  <c r="D27" i="1"/>
  <c r="E25" i="1"/>
  <c r="H25" i="1" s="1"/>
  <c r="G5" i="1"/>
  <c r="G4" i="1"/>
  <c r="E17" i="1"/>
  <c r="F17" i="1" s="1"/>
  <c r="E16" i="1"/>
  <c r="F16" i="1" s="1"/>
  <c r="H27" i="1" l="1"/>
  <c r="H28" i="1" s="1"/>
  <c r="F42" i="1"/>
  <c r="F43" i="1" s="1"/>
  <c r="F18" i="1"/>
</calcChain>
</file>

<file path=xl/sharedStrings.xml><?xml version="1.0" encoding="utf-8"?>
<sst xmlns="http://schemas.openxmlformats.org/spreadsheetml/2006/main" count="90" uniqueCount="65">
  <si>
    <t>Cách tính: Mua, đổi, bán vàng mới và dẻ</t>
  </si>
  <si>
    <t>Bảng giá</t>
  </si>
  <si>
    <t>Loại vàng</t>
  </si>
  <si>
    <t>Mua</t>
  </si>
  <si>
    <t>Bán</t>
  </si>
  <si>
    <t>Mô tả các trường hợp:</t>
  </si>
  <si>
    <t>Cửa hàng</t>
  </si>
  <si>
    <t>Khách</t>
  </si>
  <si>
    <t>Nội dung</t>
  </si>
  <si>
    <t>TL (chỉ)</t>
  </si>
  <si>
    <t>Giá</t>
  </si>
  <si>
    <t>TT</t>
  </si>
  <si>
    <t>Cửa hàng (9999)</t>
  </si>
  <si>
    <t>Khách (980)</t>
  </si>
  <si>
    <t>-Cách 1: Tính theo luật mua bán</t>
  </si>
  <si>
    <t>Giao dịch</t>
  </si>
  <si>
    <t>Giá bù</t>
  </si>
  <si>
    <t>Bù</t>
  </si>
  <si>
    <t>Đổi</t>
  </si>
  <si>
    <t>Giá+bù</t>
  </si>
  <si>
    <t>Tiền thu  (+), trả (-) khách</t>
  </si>
  <si>
    <t>-Cách 3: Tính theo giá trung bình giữa mua và bán.</t>
  </si>
  <si>
    <t>Giá trung bình (Tổng giá trị/Tổng TL)</t>
  </si>
  <si>
    <t>1.Vàng khách &gt;Vàng đổi</t>
  </si>
  <si>
    <t>Ví dụ: Khách mang đến 5 chỉ vàng 980 đổi lấy 2 chỉ vàng  9999</t>
  </si>
  <si>
    <t>-Cách 2: Tính theo đổi ngang + bù giá (Cách truyền thống)</t>
  </si>
  <si>
    <r>
      <t>Ưu điểm:</t>
    </r>
    <r>
      <rPr>
        <sz val="11"/>
        <color theme="1"/>
        <rFont val="Aptos Narrow"/>
        <family val="2"/>
        <scheme val="minor"/>
      </rPr>
      <t xml:space="preserve"> Cực kỳ rõ ràng, dễ hạch toán kế toán.</t>
    </r>
  </si>
  <si>
    <r>
      <t>Nhược điểm:</t>
    </r>
    <r>
      <rPr>
        <sz val="11"/>
        <color theme="1"/>
        <rFont val="Aptos Narrow"/>
        <family val="2"/>
        <scheme val="minor"/>
      </rPr>
      <t xml:space="preserve"> Khách có thể cảm thấy "thiệt" vì phải bán rẻ vàng của mình rồi lại mua đắt vàng cửa hàng.</t>
    </r>
  </si>
  <si>
    <r>
      <t>Nhược điểm:</t>
    </r>
    <r>
      <rPr>
        <sz val="11"/>
        <color theme="1"/>
        <rFont val="Arial"/>
        <family val="2"/>
      </rPr>
      <t xml:space="preserve"> Phức tạp khi tính toán nếu đơn giá biến động mạnh.</t>
    </r>
  </si>
  <si>
    <r>
      <t>Ưu điểm:</t>
    </r>
    <r>
      <rPr>
        <sz val="11"/>
        <color theme="1"/>
        <rFont val="Aptos Narrow"/>
        <family val="2"/>
        <scheme val="minor"/>
      </rPr>
      <t xml:space="preserve"> Công bằng về mặt toán học.</t>
    </r>
  </si>
  <si>
    <r>
      <t>Nhược điểm:</t>
    </r>
    <r>
      <rPr>
        <sz val="11"/>
        <color theme="1"/>
        <rFont val="Aptos Narrow"/>
        <family val="2"/>
        <scheme val="minor"/>
      </rPr>
      <t xml:space="preserve"> Không thực tế trong kinh doanh vàng vì không phân biệt được giá mua/giá bán của từng loại vàng.</t>
    </r>
  </si>
  <si>
    <r>
      <t>1. Dòng 1:</t>
    </r>
    <r>
      <rPr>
        <sz val="11"/>
        <color theme="1"/>
        <rFont val="Arial"/>
        <family val="2"/>
      </rPr>
      <t xml:space="preserve"> Vàng nhẫn 9999 (Bán mới). Số lượng: 3 chỉ. Đơn giá: 15.000. Thành tiền: 45.000.</t>
    </r>
  </si>
  <si>
    <r>
      <t>2. Dòng 2 (Ghi chú/Giảm trừ):</t>
    </r>
    <r>
      <rPr>
        <sz val="11"/>
        <color theme="1"/>
        <rFont val="Arial"/>
        <family val="2"/>
      </rPr>
      <t xml:space="preserve"> Vàng 980 (Thu đổi). Số lượng: 3 chỉ. Đơn giá: 14.940 (Đây là giá bán 15.000 trừ đi 60 tiền bù chênh lệch). Thành tiền: </t>
    </r>
    <r>
      <rPr>
        <b/>
        <sz val="11"/>
        <color theme="1"/>
        <rFont val="Arial"/>
        <family val="2"/>
      </rPr>
      <t>44.820</t>
    </r>
    <r>
      <rPr>
        <sz val="11"/>
        <color theme="1"/>
        <rFont val="Arial"/>
        <family val="2"/>
      </rPr>
      <t>.</t>
    </r>
  </si>
  <si>
    <r>
      <t>3. Dòng 3 (Mua dư):</t>
    </r>
    <r>
      <rPr>
        <sz val="11"/>
        <color theme="1"/>
        <rFont val="Arial"/>
        <family val="2"/>
      </rPr>
      <t xml:space="preserve"> Lập phiếu thu mua 2 chỉ vàng 980 dư ra với giá 14.700. Thành tiền: </t>
    </r>
    <r>
      <rPr>
        <b/>
        <sz val="11"/>
        <color theme="1"/>
        <rFont val="Arial"/>
        <family val="2"/>
      </rPr>
      <t>29.400</t>
    </r>
    <r>
      <rPr>
        <sz val="11"/>
        <color theme="1"/>
        <rFont val="Arial"/>
        <family val="2"/>
      </rPr>
      <t>.</t>
    </r>
  </si>
  <si>
    <t>Hoá đơn:</t>
  </si>
  <si>
    <r>
      <t>Tổng tiền trả khách:</t>
    </r>
    <r>
      <rPr>
        <sz val="11"/>
        <color theme="1"/>
        <rFont val="Arial"/>
        <family val="2"/>
      </rPr>
      <t xml:space="preserve"> 29.400 - (45.000 - 44.820) = 29.220</t>
    </r>
  </si>
  <si>
    <r>
      <t>Ưu điểm:</t>
    </r>
    <r>
      <rPr>
        <sz val="11"/>
        <color theme="1"/>
        <rFont val="Arial"/>
        <family val="2"/>
      </rPr>
      <t xml:space="preserve"> Khách thích vì cảm giác được "đổi ngang", số tiền trả lại cho khách cao hơn Cách 1 (29.220 &gt; 28.500).</t>
    </r>
  </si>
  <si>
    <t>STT</t>
  </si>
  <si>
    <t>Tên thuốc</t>
  </si>
  <si>
    <t>Công dụng chính</t>
  </si>
  <si>
    <t>Cách dùng</t>
  </si>
  <si>
    <t>VT-Amlopril</t>
  </si>
  <si>
    <t>Điều trị tăng huyết áp và ngăn ngừa đau thắt ngực.</t>
  </si>
  <si>
    <t>Sáng 1 viên</t>
  </si>
  <si>
    <t>Nebicard-2.5</t>
  </si>
  <si>
    <t>Kiểm tra nhịp tim, hạ huyết áp và hỗ trợ suy tim.</t>
  </si>
  <si>
    <t>Excesimva 10/40</t>
  </si>
  <si>
    <t>Kiểm soát mỡ máu (Cholesterol), ngăn ngừa xơ vữa động mạch.</t>
  </si>
  <si>
    <t>Tối 1 viên</t>
  </si>
  <si>
    <t>Sulpistad 100</t>
  </si>
  <si>
    <t>Hỗ trợ điều trị các rối loạn tâm thần hoặc lo âu (phù hợp chẩn đoán F41).</t>
  </si>
  <si>
    <t>Totcal Soft</t>
  </si>
  <si>
    <t>Bổ sung Canxi và Vitamin D3 để điều trị loãng xương.</t>
  </si>
  <si>
    <t>Sáng 1 - Chiều 1</t>
  </si>
  <si>
    <t>DogrelSaVi 75mg</t>
  </si>
  <si>
    <t>Chống kết tập tiểu cầu, giúp ngăn ngừa hình thành cục máu đông (phòng đột quỵ/nhồi máu).</t>
  </si>
  <si>
    <t>Valsarfast Plus 80mg/12.5mg</t>
  </si>
  <si>
    <t>Nebicard 2.5 mg</t>
  </si>
  <si>
    <t>Điều trị tăng huyết áp vô căn.</t>
  </si>
  <si>
    <t>2 loại này na ná giống nhau</t>
  </si>
  <si>
    <t>Điều trị tăng huyết áp vô căn..Thuốc Valsarfast 80mg Krka điều trị cao huyết áp, nhồi máu cơ tim mới phát, suy tim (2 vỉ x 14 viên)</t>
  </si>
  <si>
    <t>Dogrel SaVi giảm nguy cơ tai biến tim mạch (3 vỉ x 10 viên)</t>
  </si>
  <si>
    <t>dự phòng nguyên phát các rối loạn xuất hiện do nghẽn mạch huyết khối. Ngoài ra thuốc còn có tác dụng kiểm soát và dự phòng thứ phát ở những bệnh nhân bị xơ vữa động mạch.</t>
  </si>
  <si>
    <t>Thuốc Totcal Soft Cap DongKoo điều trị còi xương, chứng co giật (20 vỉ x 5 viên)</t>
  </si>
  <si>
    <t>thuốc được dùng điều trị còi xương, chứng co giật, co giật do thiếu calci và bệnh nhuyễn xương.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</si>
</sst>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1F1F1F"/>
      <name val="Arial"/>
      <family val="2"/>
    </font>
    <font>
      <sz val="14"/>
      <color theme="1"/>
      <name val="Aptos Narrow"/>
      <family val="2"/>
      <scheme val="minor"/>
    </font>
    <font>
      <sz val="14"/>
      <color rgb="FF1F1F1F"/>
      <name val="Arial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quotePrefix="1" applyFont="1"/>
    <xf numFmtId="0" fontId="2" fillId="0" borderId="1" xfId="0" applyFont="1" applyBorder="1"/>
    <xf numFmtId="0" fontId="2" fillId="0" borderId="1" xfId="0" applyFont="1" applyFill="1" applyBorder="1"/>
    <xf numFmtId="0" fontId="0" fillId="0" borderId="1" xfId="0" applyFill="1" applyBorder="1"/>
    <xf numFmtId="164" fontId="0" fillId="0" borderId="1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0" fillId="0" borderId="0" xfId="0" applyNumberFormat="1"/>
    <xf numFmtId="0" fontId="3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/>
    <xf numFmtId="0" fontId="8" fillId="0" borderId="1" xfId="0" applyFont="1" applyBorder="1" applyAlignment="1">
      <alignment horizontal="left" vertical="center" wrapText="1" indent="1" readingOrder="1"/>
    </xf>
    <xf numFmtId="0" fontId="9" fillId="0" borderId="1" xfId="0" applyFont="1" applyBorder="1"/>
    <xf numFmtId="0" fontId="6" fillId="0" borderId="1" xfId="0" applyFont="1" applyBorder="1" applyAlignment="1">
      <alignment horizontal="center" vertical="center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361950</xdr:colOff>
      <xdr:row>0</xdr:row>
      <xdr:rowOff>180975</xdr:rowOff>
    </xdr:from>
    <xdr:to>
      <xdr:col>27</xdr:col>
      <xdr:colOff>267793</xdr:colOff>
      <xdr:row>28</xdr:row>
      <xdr:rowOff>10265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21BD2-53C1-087F-D6E0-DA80725AC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6350" y="180975"/>
          <a:ext cx="7830643" cy="5306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931A-226C-4432-81AF-3D3426CEE258}">
  <dimension ref="A1:H46"/>
  <sheetViews>
    <sheetView topLeftCell="A12" workbookViewId="0">
      <selection activeCell="B23" sqref="B23:G36"/>
    </sheetView>
  </sheetViews>
  <sheetFormatPr defaultRowHeight="15" x14ac:dyDescent="0.25"/>
  <cols>
    <col min="2" max="2" width="15.28515625" bestFit="1" customWidth="1"/>
    <col min="3" max="4" width="10.5703125" bestFit="1" customWidth="1"/>
    <col min="5" max="5" width="9.28515625" bestFit="1" customWidth="1"/>
  </cols>
  <sheetData>
    <row r="1" spans="1:7" ht="26.25" x14ac:dyDescent="0.4">
      <c r="A1" s="12" t="s">
        <v>0</v>
      </c>
    </row>
    <row r="2" spans="1:7" x14ac:dyDescent="0.25">
      <c r="A2" t="s">
        <v>1</v>
      </c>
    </row>
    <row r="3" spans="1:7" x14ac:dyDescent="0.25">
      <c r="B3" s="3" t="s">
        <v>2</v>
      </c>
      <c r="C3" s="2" t="s">
        <v>3</v>
      </c>
      <c r="D3" s="2" t="s">
        <v>4</v>
      </c>
      <c r="E3" s="2" t="s">
        <v>16</v>
      </c>
    </row>
    <row r="4" spans="1:7" x14ac:dyDescent="0.25">
      <c r="B4" s="3">
        <v>9999</v>
      </c>
      <c r="C4" s="9">
        <v>14800</v>
      </c>
      <c r="D4" s="9">
        <v>15000</v>
      </c>
      <c r="E4" s="10">
        <v>60</v>
      </c>
      <c r="G4">
        <f>D4-C4</f>
        <v>200</v>
      </c>
    </row>
    <row r="5" spans="1:7" x14ac:dyDescent="0.25">
      <c r="B5" s="3">
        <v>980</v>
      </c>
      <c r="C5" s="9">
        <v>14700</v>
      </c>
      <c r="D5" s="9">
        <v>14900</v>
      </c>
      <c r="E5" s="10">
        <v>60</v>
      </c>
      <c r="G5">
        <f>D5-C5</f>
        <v>200</v>
      </c>
    </row>
    <row r="7" spans="1:7" x14ac:dyDescent="0.25">
      <c r="A7" s="4" t="s">
        <v>5</v>
      </c>
    </row>
    <row r="8" spans="1:7" x14ac:dyDescent="0.25">
      <c r="A8" t="s">
        <v>23</v>
      </c>
    </row>
    <row r="9" spans="1:7" x14ac:dyDescent="0.25">
      <c r="B9" t="s">
        <v>24</v>
      </c>
    </row>
    <row r="11" spans="1:7" x14ac:dyDescent="0.25">
      <c r="B11" t="s">
        <v>12</v>
      </c>
      <c r="C11" s="1"/>
      <c r="D11" s="1"/>
      <c r="E11" s="1"/>
    </row>
    <row r="12" spans="1:7" x14ac:dyDescent="0.25">
      <c r="B12" t="s">
        <v>13</v>
      </c>
      <c r="C12" s="1"/>
      <c r="D12" s="1"/>
      <c r="E12" s="1"/>
      <c r="F12" s="1"/>
      <c r="G12" s="1"/>
    </row>
    <row r="14" spans="1:7" x14ac:dyDescent="0.25">
      <c r="B14" s="5" t="s">
        <v>14</v>
      </c>
    </row>
    <row r="15" spans="1:7" x14ac:dyDescent="0.25">
      <c r="B15" s="6" t="s">
        <v>8</v>
      </c>
      <c r="C15" s="6" t="s">
        <v>15</v>
      </c>
      <c r="D15" s="6" t="s">
        <v>9</v>
      </c>
      <c r="E15" s="6" t="s">
        <v>10</v>
      </c>
      <c r="F15" s="6" t="s">
        <v>11</v>
      </c>
    </row>
    <row r="16" spans="1:7" x14ac:dyDescent="0.25">
      <c r="B16" s="1" t="s">
        <v>6</v>
      </c>
      <c r="C16" s="1" t="s">
        <v>4</v>
      </c>
      <c r="D16" s="1">
        <v>3</v>
      </c>
      <c r="E16" s="9">
        <f>D4</f>
        <v>15000</v>
      </c>
      <c r="F16" s="9">
        <f>D16*E16</f>
        <v>45000</v>
      </c>
    </row>
    <row r="17" spans="2:8" x14ac:dyDescent="0.25">
      <c r="B17" s="1" t="s">
        <v>7</v>
      </c>
      <c r="C17" s="1" t="s">
        <v>3</v>
      </c>
      <c r="D17" s="1">
        <v>-5</v>
      </c>
      <c r="E17" s="9">
        <f>C5</f>
        <v>14700</v>
      </c>
      <c r="F17" s="9">
        <f>D17*E17</f>
        <v>-73500</v>
      </c>
    </row>
    <row r="18" spans="2:8" x14ac:dyDescent="0.25">
      <c r="B18" s="1" t="s">
        <v>20</v>
      </c>
      <c r="C18" s="1"/>
      <c r="D18" s="1"/>
      <c r="E18" s="9"/>
      <c r="F18" s="9">
        <f>SUM(F16:F17)</f>
        <v>-28500</v>
      </c>
    </row>
    <row r="20" spans="2:8" x14ac:dyDescent="0.25">
      <c r="B20" s="4" t="s">
        <v>26</v>
      </c>
    </row>
    <row r="21" spans="2:8" x14ac:dyDescent="0.25">
      <c r="B21" s="4" t="s">
        <v>27</v>
      </c>
    </row>
    <row r="23" spans="2:8" x14ac:dyDescent="0.25">
      <c r="B23" s="5" t="s">
        <v>25</v>
      </c>
    </row>
    <row r="24" spans="2:8" x14ac:dyDescent="0.25">
      <c r="B24" s="6" t="s">
        <v>8</v>
      </c>
      <c r="C24" s="6" t="s">
        <v>15</v>
      </c>
      <c r="D24" s="6" t="s">
        <v>9</v>
      </c>
      <c r="E24" s="6" t="s">
        <v>10</v>
      </c>
      <c r="F24" s="7" t="s">
        <v>17</v>
      </c>
      <c r="G24" s="7" t="s">
        <v>19</v>
      </c>
      <c r="H24" s="6" t="s">
        <v>11</v>
      </c>
    </row>
    <row r="25" spans="2:8" x14ac:dyDescent="0.25">
      <c r="B25" s="1" t="s">
        <v>7</v>
      </c>
      <c r="C25" s="1"/>
      <c r="D25" s="1">
        <v>-5</v>
      </c>
      <c r="E25" s="9">
        <f>C12</f>
        <v>0</v>
      </c>
      <c r="F25" s="9"/>
      <c r="G25" s="9"/>
      <c r="H25" s="9">
        <f>D25*E25</f>
        <v>0</v>
      </c>
    </row>
    <row r="26" spans="2:8" x14ac:dyDescent="0.25">
      <c r="B26" s="1" t="s">
        <v>6</v>
      </c>
      <c r="C26" s="1" t="s">
        <v>18</v>
      </c>
      <c r="D26" s="1">
        <v>3</v>
      </c>
      <c r="E26" s="9"/>
      <c r="F26" s="9">
        <f>E5</f>
        <v>60</v>
      </c>
      <c r="G26" s="9">
        <f>F26+E26</f>
        <v>60</v>
      </c>
      <c r="H26" s="9">
        <f>G26*D26</f>
        <v>180</v>
      </c>
    </row>
    <row r="27" spans="2:8" x14ac:dyDescent="0.25">
      <c r="B27" s="1" t="s">
        <v>6</v>
      </c>
      <c r="C27" s="1" t="s">
        <v>3</v>
      </c>
      <c r="D27" s="1">
        <f>SUM(D25:D26)</f>
        <v>-2</v>
      </c>
      <c r="E27" s="9">
        <f>C5</f>
        <v>14700</v>
      </c>
      <c r="F27" s="9"/>
      <c r="G27" s="9"/>
      <c r="H27" s="9">
        <f>D27*E27</f>
        <v>-29400</v>
      </c>
    </row>
    <row r="28" spans="2:8" x14ac:dyDescent="0.25">
      <c r="B28" s="1" t="s">
        <v>20</v>
      </c>
      <c r="C28" s="1"/>
      <c r="D28" s="1"/>
      <c r="E28" s="9"/>
      <c r="F28" s="9"/>
      <c r="G28" s="9"/>
      <c r="H28" s="9">
        <f>SUM(H25:H27)</f>
        <v>-29220</v>
      </c>
    </row>
    <row r="30" spans="2:8" x14ac:dyDescent="0.25">
      <c r="B30" s="14" t="s">
        <v>36</v>
      </c>
    </row>
    <row r="31" spans="2:8" x14ac:dyDescent="0.25">
      <c r="B31" s="14" t="s">
        <v>28</v>
      </c>
    </row>
    <row r="32" spans="2:8" x14ac:dyDescent="0.25">
      <c r="B32" s="14" t="s">
        <v>34</v>
      </c>
    </row>
    <row r="33" spans="2:8" x14ac:dyDescent="0.25">
      <c r="B33" s="13" t="s">
        <v>31</v>
      </c>
    </row>
    <row r="34" spans="2:8" x14ac:dyDescent="0.25">
      <c r="B34" s="13" t="s">
        <v>32</v>
      </c>
    </row>
    <row r="35" spans="2:8" x14ac:dyDescent="0.25">
      <c r="B35" s="13" t="s">
        <v>33</v>
      </c>
    </row>
    <row r="36" spans="2:8" x14ac:dyDescent="0.25">
      <c r="B36" s="13" t="s">
        <v>35</v>
      </c>
    </row>
    <row r="38" spans="2:8" x14ac:dyDescent="0.25">
      <c r="B38" s="5" t="s">
        <v>21</v>
      </c>
    </row>
    <row r="39" spans="2:8" x14ac:dyDescent="0.25">
      <c r="B39" s="6" t="s">
        <v>8</v>
      </c>
      <c r="C39" s="6" t="s">
        <v>15</v>
      </c>
      <c r="D39" s="6" t="s">
        <v>9</v>
      </c>
      <c r="E39" s="6" t="s">
        <v>10</v>
      </c>
      <c r="F39" s="6" t="s">
        <v>11</v>
      </c>
    </row>
    <row r="40" spans="2:8" x14ac:dyDescent="0.25">
      <c r="B40" s="1" t="s">
        <v>6</v>
      </c>
      <c r="C40" s="1" t="s">
        <v>4</v>
      </c>
      <c r="D40" s="1">
        <v>3</v>
      </c>
      <c r="E40" s="9">
        <f>D4</f>
        <v>15000</v>
      </c>
      <c r="F40" s="9">
        <f>D40*E40</f>
        <v>45000</v>
      </c>
      <c r="H40" s="11"/>
    </row>
    <row r="41" spans="2:8" x14ac:dyDescent="0.25">
      <c r="B41" s="1" t="s">
        <v>6</v>
      </c>
      <c r="C41" s="1" t="s">
        <v>3</v>
      </c>
      <c r="D41" s="1">
        <v>2</v>
      </c>
      <c r="E41" s="9">
        <f>C5</f>
        <v>14700</v>
      </c>
      <c r="F41" s="9">
        <f>D41*E41</f>
        <v>29400</v>
      </c>
      <c r="H41" s="11"/>
    </row>
    <row r="42" spans="2:8" x14ac:dyDescent="0.25">
      <c r="B42" s="1" t="s">
        <v>20</v>
      </c>
      <c r="C42" s="1"/>
      <c r="D42" s="1">
        <f>SUM(D40:D41)</f>
        <v>5</v>
      </c>
      <c r="E42" s="9"/>
      <c r="F42" s="9">
        <f>SUM(F40:F41)</f>
        <v>74400</v>
      </c>
      <c r="H42" s="11"/>
    </row>
    <row r="43" spans="2:8" x14ac:dyDescent="0.25">
      <c r="B43" s="8" t="s">
        <v>22</v>
      </c>
      <c r="C43" s="1"/>
      <c r="D43" s="1"/>
      <c r="E43" s="9"/>
      <c r="F43" s="9">
        <f>F42/D42</f>
        <v>14880</v>
      </c>
    </row>
    <row r="45" spans="2:8" x14ac:dyDescent="0.25">
      <c r="B45" s="4" t="s">
        <v>29</v>
      </c>
    </row>
    <row r="46" spans="2:8" x14ac:dyDescent="0.25">
      <c r="B46" s="4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DE06-EE52-4CE7-BEEA-92E014EDD94F}">
  <dimension ref="A3:E14"/>
  <sheetViews>
    <sheetView tabSelected="1" zoomScale="70" zoomScaleNormal="70" workbookViewId="0">
      <selection activeCell="A3" sqref="A3:E14"/>
    </sheetView>
  </sheetViews>
  <sheetFormatPr defaultRowHeight="15" x14ac:dyDescent="0.25"/>
  <cols>
    <col min="1" max="1" width="7.42578125" bestFit="1" customWidth="1"/>
    <col min="2" max="2" width="32.28515625" customWidth="1"/>
    <col min="3" max="3" width="59" customWidth="1"/>
    <col min="4" max="4" width="28" customWidth="1"/>
  </cols>
  <sheetData>
    <row r="3" spans="1:5" ht="36" x14ac:dyDescent="0.3">
      <c r="A3" s="15" t="s">
        <v>37</v>
      </c>
      <c r="B3" s="15" t="s">
        <v>38</v>
      </c>
      <c r="C3" s="15" t="s">
        <v>39</v>
      </c>
      <c r="D3" s="15" t="s">
        <v>40</v>
      </c>
      <c r="E3" s="16"/>
    </row>
    <row r="4" spans="1:5" ht="36" x14ac:dyDescent="0.3">
      <c r="A4" s="15">
        <v>1</v>
      </c>
      <c r="B4" s="15" t="s">
        <v>41</v>
      </c>
      <c r="C4" s="15" t="s">
        <v>42</v>
      </c>
      <c r="D4" s="17" t="s">
        <v>43</v>
      </c>
      <c r="E4" s="16"/>
    </row>
    <row r="5" spans="1:5" ht="36" x14ac:dyDescent="0.3">
      <c r="A5" s="15">
        <v>2</v>
      </c>
      <c r="B5" s="15" t="s">
        <v>44</v>
      </c>
      <c r="C5" s="15" t="s">
        <v>45</v>
      </c>
      <c r="D5" s="17" t="s">
        <v>43</v>
      </c>
      <c r="E5" s="16"/>
    </row>
    <row r="6" spans="1:5" ht="36" x14ac:dyDescent="0.3">
      <c r="A6" s="15">
        <v>3</v>
      </c>
      <c r="B6" s="15" t="s">
        <v>46</v>
      </c>
      <c r="C6" s="15" t="s">
        <v>47</v>
      </c>
      <c r="D6" s="17" t="s">
        <v>48</v>
      </c>
      <c r="E6" s="16"/>
    </row>
    <row r="7" spans="1:5" ht="36" x14ac:dyDescent="0.3">
      <c r="A7" s="15">
        <v>4</v>
      </c>
      <c r="B7" s="15" t="s">
        <v>49</v>
      </c>
      <c r="C7" s="15" t="s">
        <v>50</v>
      </c>
      <c r="D7" s="17" t="s">
        <v>48</v>
      </c>
      <c r="E7" s="16"/>
    </row>
    <row r="8" spans="1:5" ht="36" x14ac:dyDescent="0.3">
      <c r="A8" s="15">
        <v>5</v>
      </c>
      <c r="B8" s="15" t="s">
        <v>51</v>
      </c>
      <c r="C8" s="15" t="s">
        <v>52</v>
      </c>
      <c r="D8" s="17" t="s">
        <v>53</v>
      </c>
      <c r="E8" s="16"/>
    </row>
    <row r="9" spans="1:5" ht="54" x14ac:dyDescent="0.3">
      <c r="A9" s="15">
        <v>6</v>
      </c>
      <c r="B9" s="15" t="s">
        <v>54</v>
      </c>
      <c r="C9" s="15" t="s">
        <v>55</v>
      </c>
      <c r="D9" s="17" t="s">
        <v>48</v>
      </c>
      <c r="E9" s="16"/>
    </row>
    <row r="10" spans="1:5" ht="18.75" x14ac:dyDescent="0.3">
      <c r="A10" s="15">
        <v>7</v>
      </c>
      <c r="B10" s="16"/>
      <c r="C10" s="18"/>
      <c r="D10" s="16"/>
      <c r="E10" s="16"/>
    </row>
    <row r="11" spans="1:5" ht="72" x14ac:dyDescent="0.3">
      <c r="A11" s="15">
        <v>8</v>
      </c>
      <c r="B11" s="15" t="s">
        <v>56</v>
      </c>
      <c r="C11" s="15" t="s">
        <v>60</v>
      </c>
      <c r="D11" s="16"/>
      <c r="E11" s="19" t="s">
        <v>59</v>
      </c>
    </row>
    <row r="12" spans="1:5" ht="18.75" x14ac:dyDescent="0.3">
      <c r="A12" s="15">
        <v>9</v>
      </c>
      <c r="B12" s="15" t="s">
        <v>57</v>
      </c>
      <c r="C12" s="15" t="s">
        <v>58</v>
      </c>
      <c r="D12" s="16"/>
      <c r="E12" s="19"/>
    </row>
    <row r="13" spans="1:5" ht="90" x14ac:dyDescent="0.3">
      <c r="A13" s="15">
        <v>10</v>
      </c>
      <c r="B13" s="15" t="s">
        <v>61</v>
      </c>
      <c r="C13" s="15" t="s">
        <v>62</v>
      </c>
      <c r="D13" s="16"/>
      <c r="E13" s="16"/>
    </row>
    <row r="14" spans="1:5" ht="72" x14ac:dyDescent="0.3">
      <c r="A14" s="15">
        <v>11</v>
      </c>
      <c r="B14" s="15" t="s">
        <v>63</v>
      </c>
      <c r="C14" s="15" t="s">
        <v>64</v>
      </c>
      <c r="D14" s="16"/>
      <c r="E14" s="16"/>
    </row>
  </sheetData>
  <mergeCells count="1">
    <mergeCell ref="E11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2026-01-06T02:12:09Z</dcterms:created>
  <dcterms:modified xsi:type="dcterms:W3CDTF">2026-02-03T14:23:28Z</dcterms:modified>
</cp:coreProperties>
</file>