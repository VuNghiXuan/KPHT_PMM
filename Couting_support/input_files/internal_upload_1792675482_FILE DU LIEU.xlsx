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ThanhVu\kpht\KPHT_PMM\Couting_support\input_files\"/>
    </mc:Choice>
  </mc:AlternateContent>
  <xr:revisionPtr revIDLastSave="0" documentId="8_{E0E49577-C576-4F28-84B0-C954D07B83F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nhSachDuyetNhapHang" sheetId="3" r:id="rId1"/>
    <sheet name="DL tong hop" sheetId="2" r:id="rId2"/>
    <sheet name="Z San Phẩm" sheetId="6" r:id="rId3"/>
  </sheets>
  <definedNames>
    <definedName name="_xlnm._FilterDatabase" localSheetId="0" hidden="1">DanhSachDuyetNhapHang!$A$2:$AB$282</definedName>
    <definedName name="_xlnm._FilterDatabase" localSheetId="1" hidden="1">'DL tong hop'!$A$2:$L$206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" i="6" l="1"/>
  <c r="J14" i="6"/>
  <c r="R14" i="6" s="1"/>
  <c r="J15" i="6"/>
  <c r="R15" i="6" s="1"/>
  <c r="J16" i="6"/>
  <c r="R16" i="6" s="1"/>
  <c r="J17" i="6"/>
  <c r="R17" i="6" s="1"/>
  <c r="J12" i="6"/>
  <c r="R12" i="6" s="1"/>
  <c r="H19" i="6"/>
  <c r="I19" i="6"/>
  <c r="F19" i="6"/>
  <c r="G19" i="6"/>
  <c r="P13" i="6"/>
  <c r="P14" i="6"/>
  <c r="P15" i="6"/>
  <c r="P16" i="6"/>
  <c r="P17" i="6"/>
  <c r="P12" i="6"/>
  <c r="N17" i="6"/>
  <c r="N13" i="6"/>
  <c r="N14" i="6"/>
  <c r="N15" i="6"/>
  <c r="N16" i="6"/>
  <c r="N12" i="6"/>
  <c r="R13" i="6"/>
  <c r="K17" i="6" l="1"/>
  <c r="M17" i="6" s="1"/>
  <c r="Q17" i="6" s="1"/>
  <c r="K12" i="6"/>
  <c r="J19" i="6"/>
  <c r="K16" i="6"/>
  <c r="M16" i="6" s="1"/>
  <c r="Q16" i="6" s="1"/>
  <c r="K14" i="6"/>
  <c r="M14" i="6" s="1"/>
  <c r="Q14" i="6" s="1"/>
  <c r="K15" i="6"/>
  <c r="M15" i="6" s="1"/>
  <c r="Q15" i="6" s="1"/>
  <c r="K13" i="6"/>
  <c r="M13" i="6" s="1"/>
  <c r="Q13" i="6" s="1"/>
  <c r="M12" i="6" l="1"/>
  <c r="Q12" i="6" s="1"/>
  <c r="K19" i="6"/>
</calcChain>
</file>

<file path=xl/sharedStrings.xml><?xml version="1.0" encoding="utf-8"?>
<sst xmlns="http://schemas.openxmlformats.org/spreadsheetml/2006/main" count="3206" uniqueCount="828">
  <si>
    <t>Danh Sách Duyệt Nhập Hàng</t>
  </si>
  <si>
    <t>Ngày</t>
  </si>
  <si>
    <t>Mã Vạch</t>
  </si>
  <si>
    <t>Kiểu/Tên dáng</t>
  </si>
  <si>
    <t>Loại vàng</t>
  </si>
  <si>
    <t>Nhà CCấp</t>
  </si>
  <si>
    <t>Quầy lớn</t>
  </si>
  <si>
    <t>Quầy</t>
  </si>
  <si>
    <t>SL</t>
  </si>
  <si>
    <t>Tổng TL</t>
  </si>
  <si>
    <t>TL hột</t>
  </si>
  <si>
    <t>TL vàng</t>
  </si>
  <si>
    <t>Công bán</t>
  </si>
  <si>
    <t>Công vốn</t>
  </si>
  <si>
    <t>Giá bán</t>
  </si>
  <si>
    <t>Nhân viên nhập</t>
  </si>
  <si>
    <t>Tạo mã</t>
  </si>
  <si>
    <t>Công sỉ 1</t>
  </si>
  <si>
    <t>Công sỉ 2</t>
  </si>
  <si>
    <t>Tình trạng</t>
  </si>
  <si>
    <t>Nhóm hàng</t>
  </si>
  <si>
    <t>Ni</t>
  </si>
  <si>
    <t>Mã hàng sỉ</t>
  </si>
  <si>
    <t>Tuổi sỉ</t>
  </si>
  <si>
    <t>Tuổi lẻ</t>
  </si>
  <si>
    <t>Giờ lập</t>
  </si>
  <si>
    <t>Tuổi vàng thực</t>
  </si>
  <si>
    <t>Mã tiệm</t>
  </si>
  <si>
    <t>Số lô</t>
  </si>
  <si>
    <t>610</t>
  </si>
  <si>
    <t>nhaphangcn1</t>
  </si>
  <si>
    <t>Y</t>
  </si>
  <si>
    <t>C</t>
  </si>
  <si>
    <t>CTY TNHH MTV KIM TUẤN QUANG</t>
  </si>
  <si>
    <t>Mặt 1h đ.tròn vt</t>
  </si>
  <si>
    <t>Bông đ 1h đ.tròn vt</t>
  </si>
  <si>
    <t>CTY TNHH MTV CT và KD TS PNJ</t>
  </si>
  <si>
    <t>Dây xoắn ý mm</t>
  </si>
  <si>
    <t>Cty CP VBĐQ Gold Kara Jewelry(K)</t>
  </si>
  <si>
    <t>Bông kh kc mm</t>
  </si>
  <si>
    <t>Bông đ 1h 4 chấu</t>
  </si>
  <si>
    <t>Bông đ 1h đ.vuông vt</t>
  </si>
  <si>
    <t>Mặt 1h đ.thoi vt</t>
  </si>
  <si>
    <t>Mặt hoa 4c tm</t>
  </si>
  <si>
    <t>CTY TNHH HIỆP THÀNH JEWELRY</t>
  </si>
  <si>
    <t>Nhẫn ni10 full tấm</t>
  </si>
  <si>
    <t>Mặt 1h đ.hoa vt</t>
  </si>
  <si>
    <t>Nhẫn ni12 1h 4 chấu vt</t>
  </si>
  <si>
    <t>Nhẫn ni14 1h 4 chấu vt</t>
  </si>
  <si>
    <t>Bông đ 1h đ.hoa vt</t>
  </si>
  <si>
    <t>Lắc bi mm</t>
  </si>
  <si>
    <t>Dây cong khế</t>
  </si>
  <si>
    <t>Lắc xoắn vuông mm</t>
  </si>
  <si>
    <t>Cty TNHH DVTM Công Nghệ Sài Gòn</t>
  </si>
  <si>
    <t>Nhẫn ni15 1h 4 chấu vt</t>
  </si>
  <si>
    <t>5Z600324</t>
  </si>
  <si>
    <t>Dây xoắn</t>
  </si>
  <si>
    <t>VT416</t>
  </si>
  <si>
    <t>Vàng 416 CH1</t>
  </si>
  <si>
    <t>Dây VT416 CH1</t>
  </si>
  <si>
    <t>13:56:36</t>
  </si>
  <si>
    <t>XitrangZ-335-411</t>
  </si>
  <si>
    <t>5L600382</t>
  </si>
  <si>
    <t>Lắc chân hoa đá đen đoạn tấm</t>
  </si>
  <si>
    <t>Lắc VT416 CH1</t>
  </si>
  <si>
    <t>21:40:58</t>
  </si>
  <si>
    <t>5L600366</t>
  </si>
  <si>
    <t>21:25:20</t>
  </si>
  <si>
    <t>5L600367</t>
  </si>
  <si>
    <t>21:27:36</t>
  </si>
  <si>
    <t>5L600368</t>
  </si>
  <si>
    <t>21:28:21</t>
  </si>
  <si>
    <t>5L600369</t>
  </si>
  <si>
    <t>21:28:48</t>
  </si>
  <si>
    <t>5L600363</t>
  </si>
  <si>
    <t>Lắc bướm baget full tấm</t>
  </si>
  <si>
    <t>21:18:37</t>
  </si>
  <si>
    <t>5L600364</t>
  </si>
  <si>
    <t>Lắc 1hg full tấm</t>
  </si>
  <si>
    <t>21:19:39</t>
  </si>
  <si>
    <t>5Z600317</t>
  </si>
  <si>
    <t>13:50:28</t>
  </si>
  <si>
    <t>5Z600325</t>
  </si>
  <si>
    <t>Dây bi ống trúc</t>
  </si>
  <si>
    <t>Cty TNHH MTV Sen Vàng Việt Nam</t>
  </si>
  <si>
    <t>13:57:15</t>
  </si>
  <si>
    <t>5Z600315</t>
  </si>
  <si>
    <t>13:48:36</t>
  </si>
  <si>
    <t>5V600089</t>
  </si>
  <si>
    <t>Vòng ni48 hoa 4c nối tròn vt</t>
  </si>
  <si>
    <t>Vòng VT416 CH1</t>
  </si>
  <si>
    <t>21:43:29</t>
  </si>
  <si>
    <t>5V600095</t>
  </si>
  <si>
    <t>Vòng ni52 1h đ.vuông 2hg chéo vt</t>
  </si>
  <si>
    <t>21:46:51</t>
  </si>
  <si>
    <t>5V600096</t>
  </si>
  <si>
    <t>Vòng ni52 1h đ.hoa 3hg vt</t>
  </si>
  <si>
    <t>21:47:23</t>
  </si>
  <si>
    <t>5V600092</t>
  </si>
  <si>
    <t>Vòng ni54 lục giác đoạn tấm</t>
  </si>
  <si>
    <t>21:45:12</t>
  </si>
  <si>
    <t>5V600093</t>
  </si>
  <si>
    <t>Vòng ni52 lục giác đoạn tấm</t>
  </si>
  <si>
    <t>21:45:33</t>
  </si>
  <si>
    <t>5L600370</t>
  </si>
  <si>
    <t>21:29:30</t>
  </si>
  <si>
    <t>5Z600303</t>
  </si>
  <si>
    <t>Dây hỏa tiễn</t>
  </si>
  <si>
    <t>13:16:28</t>
  </si>
  <si>
    <t>5L600365</t>
  </si>
  <si>
    <t>Lắc 1hg full baget</t>
  </si>
  <si>
    <t>CTY TNHH TM VÀ CN ĐTV VIỆT NAM</t>
  </si>
  <si>
    <t>21:23:22</t>
  </si>
  <si>
    <t>5L600379</t>
  </si>
  <si>
    <t>Lắc bướm trắng vt</t>
  </si>
  <si>
    <t>21:37:09</t>
  </si>
  <si>
    <t>5L600380</t>
  </si>
  <si>
    <t>Lắc nơ tt 1h tấm</t>
  </si>
  <si>
    <t>21:38:01</t>
  </si>
  <si>
    <t>5L600381</t>
  </si>
  <si>
    <t>Lắc 2tt bướm vt</t>
  </si>
  <si>
    <t>21:39:08</t>
  </si>
  <si>
    <t>5V600094</t>
  </si>
  <si>
    <t>Vòng ni48 vuông full tấm</t>
  </si>
  <si>
    <t>21:46:10</t>
  </si>
  <si>
    <t>5L600362</t>
  </si>
  <si>
    <t>Lắc dây rút xỏ tim bi tm</t>
  </si>
  <si>
    <t>15:10:00</t>
  </si>
  <si>
    <t>5Z600295</t>
  </si>
  <si>
    <t>Dây đuôi công mm</t>
  </si>
  <si>
    <t>13:10:54</t>
  </si>
  <si>
    <t>5Z600300</t>
  </si>
  <si>
    <t>13:14:32</t>
  </si>
  <si>
    <t>5Z600301</t>
  </si>
  <si>
    <t>13:15:08</t>
  </si>
  <si>
    <t>5Z600302</t>
  </si>
  <si>
    <t>Dây bi nhuyễn</t>
  </si>
  <si>
    <t>13:15:44</t>
  </si>
  <si>
    <t>5Z600304</t>
  </si>
  <si>
    <t>Dây cong vuông mm</t>
  </si>
  <si>
    <t>13:17:15</t>
  </si>
  <si>
    <t>5Z600305</t>
  </si>
  <si>
    <t>13:17:58</t>
  </si>
  <si>
    <t>5Z600306</t>
  </si>
  <si>
    <t>13:18:33</t>
  </si>
  <si>
    <t>5Z600307</t>
  </si>
  <si>
    <t>13:19:23</t>
  </si>
  <si>
    <t>5Z600309</t>
  </si>
  <si>
    <t>13:21:21</t>
  </si>
  <si>
    <t>5Z600297</t>
  </si>
  <si>
    <t>Dây xoắn vuông mắt mèo mm</t>
  </si>
  <si>
    <t>13:12:34</t>
  </si>
  <si>
    <t>5Z600298</t>
  </si>
  <si>
    <t>Dây xoắn vuông mm</t>
  </si>
  <si>
    <t>13:13:11</t>
  </si>
  <si>
    <t>5Z600299</t>
  </si>
  <si>
    <t>Dây xoắn hoa mm</t>
  </si>
  <si>
    <t>13:13:48</t>
  </si>
  <si>
    <t>5Z600318</t>
  </si>
  <si>
    <t>13:51:20</t>
  </si>
  <si>
    <t>5Z600319</t>
  </si>
  <si>
    <t xml:space="preserve">Dây ovan </t>
  </si>
  <si>
    <t>13:53:34</t>
  </si>
  <si>
    <t>5Z600320</t>
  </si>
  <si>
    <t>13:54:09</t>
  </si>
  <si>
    <t>5Z600321</t>
  </si>
  <si>
    <t>13:54:37</t>
  </si>
  <si>
    <t>5Z600322</t>
  </si>
  <si>
    <t>13:55:14</t>
  </si>
  <si>
    <t>5Z600310</t>
  </si>
  <si>
    <t>13:35:31</t>
  </si>
  <si>
    <t>5Z600311</t>
  </si>
  <si>
    <t>13:36:02</t>
  </si>
  <si>
    <t>5Z600312</t>
  </si>
  <si>
    <t>13:36:40</t>
  </si>
  <si>
    <t>5Z600313</t>
  </si>
  <si>
    <t>13:38:15</t>
  </si>
  <si>
    <t>5Z600314</t>
  </si>
  <si>
    <t>13:38:53</t>
  </si>
  <si>
    <t>5Z600326</t>
  </si>
  <si>
    <t>13:58:07</t>
  </si>
  <si>
    <t>5Z600327</t>
  </si>
  <si>
    <t>13:58:31</t>
  </si>
  <si>
    <t>5L600374</t>
  </si>
  <si>
    <t>Lắc đuôi công mm</t>
  </si>
  <si>
    <t>21:32:56</t>
  </si>
  <si>
    <t>5Z600316</t>
  </si>
  <si>
    <t>13:49:51</t>
  </si>
  <si>
    <t>5V600090</t>
  </si>
  <si>
    <t>Vòng ni54 xoắn mm</t>
  </si>
  <si>
    <t>21:44:14</t>
  </si>
  <si>
    <t>5V600091</t>
  </si>
  <si>
    <t>21:44:29</t>
  </si>
  <si>
    <t>5Z600296</t>
  </si>
  <si>
    <t>Cty TNHH BN Jewelry</t>
  </si>
  <si>
    <t>13:11:50</t>
  </si>
  <si>
    <t>5Z600308</t>
  </si>
  <si>
    <t>13:20:26</t>
  </si>
  <si>
    <t>5L600371</t>
  </si>
  <si>
    <t>Lắc hoa đá đen v.bi</t>
  </si>
  <si>
    <t>21:30:19</t>
  </si>
  <si>
    <t>5L600372</t>
  </si>
  <si>
    <t>Lắc hoa đá đỏ v.bi</t>
  </si>
  <si>
    <t>21:30:55</t>
  </si>
  <si>
    <t>5L600373</t>
  </si>
  <si>
    <t>21:31:38</t>
  </si>
  <si>
    <t>5L600375</t>
  </si>
  <si>
    <t>Lắc chân bướm v.bi mm</t>
  </si>
  <si>
    <t>21:34:00</t>
  </si>
  <si>
    <t>5L600376</t>
  </si>
  <si>
    <t>Lắc chân 5 hoa 4c tấm</t>
  </si>
  <si>
    <t>21:34:46</t>
  </si>
  <si>
    <t>5L600377</t>
  </si>
  <si>
    <t>Lắc cong DD baget vt</t>
  </si>
  <si>
    <t>21:35:32</t>
  </si>
  <si>
    <t>5L600378</t>
  </si>
  <si>
    <t>Lắc halo tròn full tấm</t>
  </si>
  <si>
    <t>21:36:21</t>
  </si>
  <si>
    <t>5Z600328</t>
  </si>
  <si>
    <t>Dây lm hoa 5c v.bi mm</t>
  </si>
  <si>
    <t>13:59:13</t>
  </si>
  <si>
    <t>5Z600329</t>
  </si>
  <si>
    <t>Dây lm H vt</t>
  </si>
  <si>
    <t>13:59:56</t>
  </si>
  <si>
    <t>5Z600330</t>
  </si>
  <si>
    <t>Dây lm bướm hoa 4c đen tt v.bi</t>
  </si>
  <si>
    <t>14:01:10</t>
  </si>
  <si>
    <t>5Z600323</t>
  </si>
  <si>
    <t>13:55:49</t>
  </si>
  <si>
    <t>5B600646</t>
  </si>
  <si>
    <t>Bông VT416 CH1</t>
  </si>
  <si>
    <t>14:48:45</t>
  </si>
  <si>
    <t>5B600657</t>
  </si>
  <si>
    <t>Bông đ hoa 4c v.bi mm</t>
  </si>
  <si>
    <t>15:03:00</t>
  </si>
  <si>
    <t>5B600639</t>
  </si>
  <si>
    <t>Bông b 2hg baget</t>
  </si>
  <si>
    <t>14:42:27</t>
  </si>
  <si>
    <t>5M600216</t>
  </si>
  <si>
    <t>Mặt xỏ hoa 4c tm</t>
  </si>
  <si>
    <t>Mặt VT416 CH1</t>
  </si>
  <si>
    <t>15:39:15</t>
  </si>
  <si>
    <t>5M600217</t>
  </si>
  <si>
    <t>Mặt xỏ châu tấm</t>
  </si>
  <si>
    <t>15:41:15</t>
  </si>
  <si>
    <t>5M600218</t>
  </si>
  <si>
    <t>Mặt xỏ tròn vt</t>
  </si>
  <si>
    <t>15:42:31</t>
  </si>
  <si>
    <t>5N600602</t>
  </si>
  <si>
    <t>Nhẫn ni12 1h đ.vuông vt</t>
  </si>
  <si>
    <t>Nhẫn VT416 CH1</t>
  </si>
  <si>
    <t>nhaphang2cn1</t>
  </si>
  <si>
    <t>13:46:46</t>
  </si>
  <si>
    <t>Nhẫn Trơn 999</t>
  </si>
  <si>
    <t>Nhẫn Trơn 999 CH1</t>
  </si>
  <si>
    <t>NHẪN TRƠN 5C</t>
  </si>
  <si>
    <t>Nhẫn Trơn 5C CH1</t>
  </si>
  <si>
    <t>NHẪN TRƠN 1L</t>
  </si>
  <si>
    <t>Nhẫn Trơn 1L CH1</t>
  </si>
  <si>
    <t>5B600614</t>
  </si>
  <si>
    <t>Bông đ 1h đ.vuông baget vt</t>
  </si>
  <si>
    <t>14:17:48</t>
  </si>
  <si>
    <t>5B600625</t>
  </si>
  <si>
    <t>Bông kh 4 ngôi sao mm</t>
  </si>
  <si>
    <t>14:26:43</t>
  </si>
  <si>
    <t>5B600626</t>
  </si>
  <si>
    <t>Bông kh nối tròn mm</t>
  </si>
  <si>
    <t>14:27:06</t>
  </si>
  <si>
    <t>5B600627</t>
  </si>
  <si>
    <t>Bông kh tt tim 2hg vt</t>
  </si>
  <si>
    <t>14:27:58</t>
  </si>
  <si>
    <t>5B600628</t>
  </si>
  <si>
    <t>14:29:39</t>
  </si>
  <si>
    <t>5B600629</t>
  </si>
  <si>
    <t>Bông đ 1h 6 chấu hoa</t>
  </si>
  <si>
    <t>14:32:02</t>
  </si>
  <si>
    <t>5B600633</t>
  </si>
  <si>
    <t>Bông đ 1h đ.hoa 4c tm</t>
  </si>
  <si>
    <t>14:37:10</t>
  </si>
  <si>
    <t>5B600638</t>
  </si>
  <si>
    <t>Bông b 2hg tấm v.bi</t>
  </si>
  <si>
    <t>14:41:54</t>
  </si>
  <si>
    <t>5B600641</t>
  </si>
  <si>
    <t>14:43:51</t>
  </si>
  <si>
    <t>5B600644</t>
  </si>
  <si>
    <t>Bông đ thoi tim tm</t>
  </si>
  <si>
    <t>14:47:17</t>
  </si>
  <si>
    <t>5B600662</t>
  </si>
  <si>
    <t>15:15:14</t>
  </si>
  <si>
    <t>5B600663</t>
  </si>
  <si>
    <t>15:16:17</t>
  </si>
  <si>
    <t>5B600664</t>
  </si>
  <si>
    <t xml:space="preserve">Bông đ 1h 4 chấu </t>
  </si>
  <si>
    <t>15:18:08</t>
  </si>
  <si>
    <t>5B600665</t>
  </si>
  <si>
    <t>15:18:54</t>
  </si>
  <si>
    <t>5B600666</t>
  </si>
  <si>
    <t>Bông đ 1h 4 chấu hoa tim</t>
  </si>
  <si>
    <t>15:19:57</t>
  </si>
  <si>
    <t>5B600667</t>
  </si>
  <si>
    <t>Bông đ 1h 6 chấu</t>
  </si>
  <si>
    <t>15:22:13</t>
  </si>
  <si>
    <t>5B600668</t>
  </si>
  <si>
    <t>15:23:07</t>
  </si>
  <si>
    <t>5B600669</t>
  </si>
  <si>
    <t>Bông v 1h đ.hoa vt</t>
  </si>
  <si>
    <t>15:24:18</t>
  </si>
  <si>
    <t>5B600670</t>
  </si>
  <si>
    <t>15:24:57</t>
  </si>
  <si>
    <t>5B600671</t>
  </si>
  <si>
    <t>15:26:35</t>
  </si>
  <si>
    <t>5B600672</t>
  </si>
  <si>
    <t>Bông đ 1h đ.hoa cn vt</t>
  </si>
  <si>
    <t>15:27:30</t>
  </si>
  <si>
    <t>5B600673</t>
  </si>
  <si>
    <t>15:28:32</t>
  </si>
  <si>
    <t>5B600674</t>
  </si>
  <si>
    <t>15:30:47</t>
  </si>
  <si>
    <t>5B600675</t>
  </si>
  <si>
    <t>15:31:54</t>
  </si>
  <si>
    <t>5B600676</t>
  </si>
  <si>
    <t>Bông b 1h ovan lượn vt</t>
  </si>
  <si>
    <t>15:33:09</t>
  </si>
  <si>
    <t>5B600677</t>
  </si>
  <si>
    <t>15:34:15</t>
  </si>
  <si>
    <t>5B600678</t>
  </si>
  <si>
    <t>Bông đ nơ vt</t>
  </si>
  <si>
    <t>15:36:43</t>
  </si>
  <si>
    <t>5B600649</t>
  </si>
  <si>
    <t>14:53:32</t>
  </si>
  <si>
    <t>5B600652</t>
  </si>
  <si>
    <t>Bông kh mo khứa mm</t>
  </si>
  <si>
    <t>14:57:25</t>
  </si>
  <si>
    <t>5B600653</t>
  </si>
  <si>
    <t>14:58:27</t>
  </si>
  <si>
    <t>5B600654</t>
  </si>
  <si>
    <t>15:00:00</t>
  </si>
  <si>
    <t>5B600655</t>
  </si>
  <si>
    <t>15:01:02</t>
  </si>
  <si>
    <t>5B600656</t>
  </si>
  <si>
    <t>Bông kh tt tim vt</t>
  </si>
  <si>
    <t>15:02:18</t>
  </si>
  <si>
    <t>5M600221</t>
  </si>
  <si>
    <t>Mặt quan âm tm</t>
  </si>
  <si>
    <t>15:45:38</t>
  </si>
  <si>
    <t>5M600222</t>
  </si>
  <si>
    <t>Mặt 1h hoa xoắn vt</t>
  </si>
  <si>
    <t>15:46:11</t>
  </si>
  <si>
    <t>5M600223</t>
  </si>
  <si>
    <t>15:48:10</t>
  </si>
  <si>
    <t>5M600224</t>
  </si>
  <si>
    <t>Mặt 1h 6 chấu hoa</t>
  </si>
  <si>
    <t>15:49:38</t>
  </si>
  <si>
    <t>5M600225</t>
  </si>
  <si>
    <t>15:50:19</t>
  </si>
  <si>
    <t>5M600226</t>
  </si>
  <si>
    <t>15:50:48</t>
  </si>
  <si>
    <t>5B600660</t>
  </si>
  <si>
    <t>15:08:51</t>
  </si>
  <si>
    <t>5M600234</t>
  </si>
  <si>
    <t>15:55:56</t>
  </si>
  <si>
    <t>5M600235</t>
  </si>
  <si>
    <t>15:56:19</t>
  </si>
  <si>
    <t>5N600540</t>
  </si>
  <si>
    <t>Nhẫn ni12 thắt lưng 1hg baget</t>
  </si>
  <si>
    <t>12:56:13</t>
  </si>
  <si>
    <t>5N600607</t>
  </si>
  <si>
    <t>Nhẫn ni18 1h chữ T xoắn</t>
  </si>
  <si>
    <t>13:52:41</t>
  </si>
  <si>
    <t>5N600608</t>
  </si>
  <si>
    <t>13:54:30</t>
  </si>
  <si>
    <t>5N600604</t>
  </si>
  <si>
    <t>Nhẫn ni13 3hg baget vt</t>
  </si>
  <si>
    <t>13:48:55</t>
  </si>
  <si>
    <t>5M600227</t>
  </si>
  <si>
    <t>Mặt xỏ 1hg baget vt</t>
  </si>
  <si>
    <t>15:51:30</t>
  </si>
  <si>
    <t>5B600650</t>
  </si>
  <si>
    <t>14:54:29</t>
  </si>
  <si>
    <t>5B600613</t>
  </si>
  <si>
    <t>14:14:59</t>
  </si>
  <si>
    <t>5B600640</t>
  </si>
  <si>
    <t>14:43:01</t>
  </si>
  <si>
    <t>5B600636</t>
  </si>
  <si>
    <t>Bông kh cn kc mm</t>
  </si>
  <si>
    <t>14:40:18</t>
  </si>
  <si>
    <t>5B600637</t>
  </si>
  <si>
    <t>Bông kh kim tiền mm</t>
  </si>
  <si>
    <t>14:40:48</t>
  </si>
  <si>
    <t>5B600622</t>
  </si>
  <si>
    <t>Bông kh bé 1hg vt</t>
  </si>
  <si>
    <t>14:24:48</t>
  </si>
  <si>
    <t>5B600623</t>
  </si>
  <si>
    <t>14:25:13</t>
  </si>
  <si>
    <t>5B600624</t>
  </si>
  <si>
    <t>14:25:33</t>
  </si>
  <si>
    <t>5M600228</t>
  </si>
  <si>
    <t>Mặt hoa 4c v.bi mm</t>
  </si>
  <si>
    <t>15:52:21</t>
  </si>
  <si>
    <t>5M600229</t>
  </si>
  <si>
    <t>15:52:42</t>
  </si>
  <si>
    <t>5M600230</t>
  </si>
  <si>
    <t>Mặt 1h hoa 4c baget vt</t>
  </si>
  <si>
    <t>15:53:24</t>
  </si>
  <si>
    <t>5M600238</t>
  </si>
  <si>
    <t>15:58:35</t>
  </si>
  <si>
    <t>5M600239</t>
  </si>
  <si>
    <t>15:59:05</t>
  </si>
  <si>
    <t>5M600240</t>
  </si>
  <si>
    <t>15:59:36</t>
  </si>
  <si>
    <t>5B600659</t>
  </si>
  <si>
    <t>15:06:48</t>
  </si>
  <si>
    <t>5M600219</t>
  </si>
  <si>
    <t>Mặt 1h đ.hoa baget vt</t>
  </si>
  <si>
    <t>15:44:36</t>
  </si>
  <si>
    <t>5M600220</t>
  </si>
  <si>
    <t>15:45:08</t>
  </si>
  <si>
    <t>5M600232</t>
  </si>
  <si>
    <t>Mặt bướm tm</t>
  </si>
  <si>
    <t>15:54:41</t>
  </si>
  <si>
    <t>5B600630</t>
  </si>
  <si>
    <t>Bông đ ngôi sao vt</t>
  </si>
  <si>
    <t>14:34:19</t>
  </si>
  <si>
    <t>5B600631</t>
  </si>
  <si>
    <t>14:34:42</t>
  </si>
  <si>
    <t>5B600632</t>
  </si>
  <si>
    <t>Bông kh cn mm</t>
  </si>
  <si>
    <t>14:35:12</t>
  </si>
  <si>
    <t>5N600603</t>
  </si>
  <si>
    <t>Nhẫn ni17 1h đ.hoa 4hg vt</t>
  </si>
  <si>
    <t>13:47:53</t>
  </si>
  <si>
    <t>5N600542</t>
  </si>
  <si>
    <t>Nhẫn ni11 1h 4 chấu vt</t>
  </si>
  <si>
    <t>12:57:30</t>
  </si>
  <si>
    <t>5N600543</t>
  </si>
  <si>
    <t>Nhẫn ni13 1h 4 chấu vt</t>
  </si>
  <si>
    <t>12:58:03</t>
  </si>
  <si>
    <t>5N600544</t>
  </si>
  <si>
    <t>12:58:50</t>
  </si>
  <si>
    <t>5N600545</t>
  </si>
  <si>
    <t>12:59:34</t>
  </si>
  <si>
    <t>5N600546</t>
  </si>
  <si>
    <t>Nhẫn ni14 1h đ.hoa 4c vt</t>
  </si>
  <si>
    <t>12:59:59</t>
  </si>
  <si>
    <t>5N600547</t>
  </si>
  <si>
    <t>Nhẫn ni10 1h 4 chấu xoắn vuông vt</t>
  </si>
  <si>
    <t>13:00:39</t>
  </si>
  <si>
    <t>5N600557</t>
  </si>
  <si>
    <t>13:10:27</t>
  </si>
  <si>
    <t>5N600558</t>
  </si>
  <si>
    <t>13:11:07</t>
  </si>
  <si>
    <t>5N600559</t>
  </si>
  <si>
    <t>Nhẫn ni11 1hg vt</t>
  </si>
  <si>
    <t>13:11:53</t>
  </si>
  <si>
    <t>5N600572</t>
  </si>
  <si>
    <t>Nhẫn ni17 1h cao 4 chấu baget chéo vt</t>
  </si>
  <si>
    <t>13:22:35</t>
  </si>
  <si>
    <t>5N600573</t>
  </si>
  <si>
    <t>Nhẫn ni13 1h cao 4 chấu baget chéo vt</t>
  </si>
  <si>
    <t>13:22:40</t>
  </si>
  <si>
    <t>5N600574</t>
  </si>
  <si>
    <t>Nhẫn ni15 1h cao 4 chấu baget chéo vt</t>
  </si>
  <si>
    <t>13:23:18</t>
  </si>
  <si>
    <t>5N600575</t>
  </si>
  <si>
    <t>Nhẫn ni13 1h đ.tròn 2hg vt</t>
  </si>
  <si>
    <t>13:23:41</t>
  </si>
  <si>
    <t>5N600592</t>
  </si>
  <si>
    <t>Nhẫn N ni17 1h tròn vt</t>
  </si>
  <si>
    <t>13:35:51</t>
  </si>
  <si>
    <t>5N600570</t>
  </si>
  <si>
    <t>Nhẫn ni13 1h 1hg vt</t>
  </si>
  <si>
    <t>13:20:22</t>
  </si>
  <si>
    <t>5N600601</t>
  </si>
  <si>
    <t>Nhẫn ni14 1h đ.hoa tm</t>
  </si>
  <si>
    <t>13:46:10</t>
  </si>
  <si>
    <t>5N600548</t>
  </si>
  <si>
    <t>Nhẫn ni11 mắt mèo khứa mm</t>
  </si>
  <si>
    <t>13:04:34</t>
  </si>
  <si>
    <t>5N600549</t>
  </si>
  <si>
    <t>Nhẫn ni13 mắt mèo khứa mm</t>
  </si>
  <si>
    <t>13:04:46</t>
  </si>
  <si>
    <t>5N600550</t>
  </si>
  <si>
    <t>Nhẫn ni11 5h 1hg tấm</t>
  </si>
  <si>
    <t>13:05:29</t>
  </si>
  <si>
    <t>5N600551</t>
  </si>
  <si>
    <t>Nhẫn ni13 1h đ.hoa oval baget vt</t>
  </si>
  <si>
    <t>13:06:07</t>
  </si>
  <si>
    <t>5N600552</t>
  </si>
  <si>
    <t>Nhẫn ni17 1h đ.hoa oval baget vt</t>
  </si>
  <si>
    <t>13:06:23</t>
  </si>
  <si>
    <t>5N600560</t>
  </si>
  <si>
    <t>Nhẫn ni11 1h đ.tròn vt</t>
  </si>
  <si>
    <t>13:12:47</t>
  </si>
  <si>
    <t>5N600561</t>
  </si>
  <si>
    <t>Nhẫn ni14 1h đ.vuông baget vt</t>
  </si>
  <si>
    <t>13:13:37</t>
  </si>
  <si>
    <t>5N600563</t>
  </si>
  <si>
    <t>Nhẫn ni14 1h đ.tròn vt</t>
  </si>
  <si>
    <t>13:16:06</t>
  </si>
  <si>
    <t>5N600555</t>
  </si>
  <si>
    <t>Nhẫn ni10 rắn vt</t>
  </si>
  <si>
    <t>13:08:55</t>
  </si>
  <si>
    <t>5N600556</t>
  </si>
  <si>
    <t>Nhẫn ni16 3hg vt</t>
  </si>
  <si>
    <t>13:09:51</t>
  </si>
  <si>
    <t>5N600576</t>
  </si>
  <si>
    <t>Nhẫn ni15 1h đ.tròn baget xen tấm</t>
  </si>
  <si>
    <t>13:24:17</t>
  </si>
  <si>
    <t>5B600598</t>
  </si>
  <si>
    <t>10:59:34</t>
  </si>
  <si>
    <t>5B600599</t>
  </si>
  <si>
    <t>11:01:14</t>
  </si>
  <si>
    <t>5M600244</t>
  </si>
  <si>
    <t>16:03:11</t>
  </si>
  <si>
    <t>5M600253</t>
  </si>
  <si>
    <t>Mặt 1h đ.vuông baget gi.nước vt</t>
  </si>
  <si>
    <t>16:08:16</t>
  </si>
  <si>
    <t>5B600679</t>
  </si>
  <si>
    <t>Bông kh T 2hg vt</t>
  </si>
  <si>
    <t>17:27:53</t>
  </si>
  <si>
    <t>5M600256</t>
  </si>
  <si>
    <t>Mặt 1h 4 chấu tim</t>
  </si>
  <si>
    <t>17:31:14</t>
  </si>
  <si>
    <t>5B600643</t>
  </si>
  <si>
    <t>Bông đ tim vt</t>
  </si>
  <si>
    <t>14:46:34</t>
  </si>
  <si>
    <t>5M600241</t>
  </si>
  <si>
    <t>Mặt chữ T tm</t>
  </si>
  <si>
    <t>16:00:09</t>
  </si>
  <si>
    <t>5M600236</t>
  </si>
  <si>
    <t>Mặt hoa đá đen v.bi</t>
  </si>
  <si>
    <t>15:57:24</t>
  </si>
  <si>
    <t>5M600237</t>
  </si>
  <si>
    <t>Mặt chữ H vt</t>
  </si>
  <si>
    <t>15:57:53</t>
  </si>
  <si>
    <t>5M600231</t>
  </si>
  <si>
    <t>15:54:06</t>
  </si>
  <si>
    <t>5B600600</t>
  </si>
  <si>
    <t>14:01:55</t>
  </si>
  <si>
    <t>5M600233</t>
  </si>
  <si>
    <t>Mặt tim vt</t>
  </si>
  <si>
    <t>15:55:20</t>
  </si>
  <si>
    <t>5M600255</t>
  </si>
  <si>
    <t>Mặt tim tm</t>
  </si>
  <si>
    <t>17:30:33</t>
  </si>
  <si>
    <t>5M600242</t>
  </si>
  <si>
    <t>16:00:45</t>
  </si>
  <si>
    <t>5M600243</t>
  </si>
  <si>
    <t>Mặt hoa đá đỏ v.bi</t>
  </si>
  <si>
    <t>16:02:35</t>
  </si>
  <si>
    <t>5N600571</t>
  </si>
  <si>
    <t>Nhẫn ni14 tim xoắn vt</t>
  </si>
  <si>
    <t>13:21:12</t>
  </si>
  <si>
    <t>5N600597</t>
  </si>
  <si>
    <t>Nhẫn ni14 1h đ.hoa tròn baget vt</t>
  </si>
  <si>
    <t>13:41:30</t>
  </si>
  <si>
    <t>5N600598</t>
  </si>
  <si>
    <t>13:43:21</t>
  </si>
  <si>
    <t>5N600599</t>
  </si>
  <si>
    <t>Nhẫn ni14 lục giác đoạn tấm</t>
  </si>
  <si>
    <t>13:44:18</t>
  </si>
  <si>
    <t>5M600245</t>
  </si>
  <si>
    <t>Mặt 1h giọt nước vt</t>
  </si>
  <si>
    <t>16:03:45</t>
  </si>
  <si>
    <t>5M600246</t>
  </si>
  <si>
    <t>Mặt xỏ tròn baget</t>
  </si>
  <si>
    <t>16:04:16</t>
  </si>
  <si>
    <t>5M600247</t>
  </si>
  <si>
    <t>Mặt xỏ tròn 2hg vt</t>
  </si>
  <si>
    <t>16:04:47</t>
  </si>
  <si>
    <t>5M600248</t>
  </si>
  <si>
    <t>Mặt hoa cúc nhụy vàng vt</t>
  </si>
  <si>
    <t>16:05:20</t>
  </si>
  <si>
    <t>5M600249</t>
  </si>
  <si>
    <t>Mặt chữ O tm</t>
  </si>
  <si>
    <t>16:05:49</t>
  </si>
  <si>
    <t>5M600250</t>
  </si>
  <si>
    <t>Mặt 1h đ.thoi baget vt</t>
  </si>
  <si>
    <t>16:06:21</t>
  </si>
  <si>
    <t>5M600251</t>
  </si>
  <si>
    <t>Mặt 1h tim vt</t>
  </si>
  <si>
    <t>16:06:59</t>
  </si>
  <si>
    <t>5M600252</t>
  </si>
  <si>
    <t>16:07:32</t>
  </si>
  <si>
    <t>5N600609</t>
  </si>
  <si>
    <t>14:01:49</t>
  </si>
  <si>
    <t>5N600534</t>
  </si>
  <si>
    <t>Nhẫn ni16 mắt mèo mm</t>
  </si>
  <si>
    <t>12:52:00</t>
  </si>
  <si>
    <t>5N600535</t>
  </si>
  <si>
    <t>Nhẫn ni9 1h 4 chấu vt</t>
  </si>
  <si>
    <t>12:52:50</t>
  </si>
  <si>
    <t>5N600536</t>
  </si>
  <si>
    <t>Nhẫn ni15 1h đ.tròn vt</t>
  </si>
  <si>
    <t>12:53:42</t>
  </si>
  <si>
    <t>5N600537</t>
  </si>
  <si>
    <t>Nhẫn ni16 chữ T baget vt</t>
  </si>
  <si>
    <t>12:54:29</t>
  </si>
  <si>
    <t>5N600538</t>
  </si>
  <si>
    <t>Nhẫn ni12 chữ N baget vt</t>
  </si>
  <si>
    <t>12:54:57</t>
  </si>
  <si>
    <t>5N600539</t>
  </si>
  <si>
    <t>Nhẫn ni11 1h đ.hoa 3hg vt</t>
  </si>
  <si>
    <t>12:55:27</t>
  </si>
  <si>
    <t>1NT60211</t>
  </si>
  <si>
    <t>18:41:24</t>
  </si>
  <si>
    <t>NT-150C-01032026</t>
  </si>
  <si>
    <t>1NT60210</t>
  </si>
  <si>
    <t>1NT60209</t>
  </si>
  <si>
    <t>1NT60208</t>
  </si>
  <si>
    <t>1NT60207</t>
  </si>
  <si>
    <t>1NT60206</t>
  </si>
  <si>
    <t>1NT60205</t>
  </si>
  <si>
    <t>1NT60204</t>
  </si>
  <si>
    <t>1NT60203</t>
  </si>
  <si>
    <t>1NT60202</t>
  </si>
  <si>
    <t>1NT60201</t>
  </si>
  <si>
    <t>1NT60200</t>
  </si>
  <si>
    <t>1K601981</t>
  </si>
  <si>
    <t>18:41:54</t>
  </si>
  <si>
    <t>1K601980</t>
  </si>
  <si>
    <t>1K601979</t>
  </si>
  <si>
    <t>1K601978</t>
  </si>
  <si>
    <t>1K601977</t>
  </si>
  <si>
    <t>1K601976</t>
  </si>
  <si>
    <t>5N600577</t>
  </si>
  <si>
    <t>Nhẫn ni11 2hg baget vt</t>
  </si>
  <si>
    <t>13:24:44</t>
  </si>
  <si>
    <t>5N600578</t>
  </si>
  <si>
    <t>Nhẫn ni18 3hg baget vt</t>
  </si>
  <si>
    <t>13:25:06</t>
  </si>
  <si>
    <t>5N600580</t>
  </si>
  <si>
    <t>13:26:48</t>
  </si>
  <si>
    <t>5N600581</t>
  </si>
  <si>
    <t>Nhẫn ni16 2hg baget vt</t>
  </si>
  <si>
    <t>13:27:18</t>
  </si>
  <si>
    <t>5N600582</t>
  </si>
  <si>
    <t>Nhẫn ni15 1h 6 chấu vt</t>
  </si>
  <si>
    <t>13:28:14</t>
  </si>
  <si>
    <t>5N600583</t>
  </si>
  <si>
    <t>Nhẫn ni14 1h đ.vuông 3hg vt</t>
  </si>
  <si>
    <t>13:28:54</t>
  </si>
  <si>
    <t>5N600584</t>
  </si>
  <si>
    <t>Nhẫn ni14 1h 4 chấu baget</t>
  </si>
  <si>
    <t>13:29:49</t>
  </si>
  <si>
    <t>5N600585</t>
  </si>
  <si>
    <t>Nhẫn ni10 1h 4 chấu baget</t>
  </si>
  <si>
    <t>13:30:36</t>
  </si>
  <si>
    <t>5N600586</t>
  </si>
  <si>
    <t>Nhẫn N ni15 1h đ.vuông 3hg baget vt</t>
  </si>
  <si>
    <t>13:31:54</t>
  </si>
  <si>
    <t>5N600587</t>
  </si>
  <si>
    <t>Nhẫn N ni20 1h đ.vuông tm</t>
  </si>
  <si>
    <t>13:32:29</t>
  </si>
  <si>
    <t>5N600588</t>
  </si>
  <si>
    <t>Nhẫn N ni18 1h tròn baget vt</t>
  </si>
  <si>
    <t>13:32:58</t>
  </si>
  <si>
    <t>5N600589</t>
  </si>
  <si>
    <t>Nhẫn N ni18 1h tròn vt</t>
  </si>
  <si>
    <t>13:33:39</t>
  </si>
  <si>
    <t>5N600590</t>
  </si>
  <si>
    <t>Nhẫn N ni17 1h đ.vuông mũi tên vt</t>
  </si>
  <si>
    <t>13:34:43</t>
  </si>
  <si>
    <t>5N600591</t>
  </si>
  <si>
    <t>Nhẫn N ni19 1h đ.vuông baget vt</t>
  </si>
  <si>
    <t>13:35:07</t>
  </si>
  <si>
    <t>5N600568</t>
  </si>
  <si>
    <t>13:19:24</t>
  </si>
  <si>
    <t>5N600569</t>
  </si>
  <si>
    <t>13:20:03</t>
  </si>
  <si>
    <t>5N600565</t>
  </si>
  <si>
    <t>Nhẫn ni11h 1h cao đ.hoa 2hg vt</t>
  </si>
  <si>
    <t>13:18:04</t>
  </si>
  <si>
    <t>5N600566</t>
  </si>
  <si>
    <t>Nhẫn ni15 1h cao đ.hoa v.bi vt</t>
  </si>
  <si>
    <t>13:18:26</t>
  </si>
  <si>
    <t>5M600254</t>
  </si>
  <si>
    <t>Mặt 1h tim 1b vt</t>
  </si>
  <si>
    <t>16:09:33</t>
  </si>
  <si>
    <t>5N600553</t>
  </si>
  <si>
    <t>13:07:03</t>
  </si>
  <si>
    <t>5N600554</t>
  </si>
  <si>
    <t>Nhẫn ni9 1h đ.vuông 3hg vt</t>
  </si>
  <si>
    <t>13:07:59</t>
  </si>
  <si>
    <t>5N600605</t>
  </si>
  <si>
    <t>Nhẫn ni15 1h cao đ.hoa 2hg baget vt</t>
  </si>
  <si>
    <t>13:49:44</t>
  </si>
  <si>
    <t>5N600606</t>
  </si>
  <si>
    <t>Nhẫn ni13 1h đ.hoa baget vt</t>
  </si>
  <si>
    <t>13:50:41</t>
  </si>
  <si>
    <t>5B600602</t>
  </si>
  <si>
    <t>14:04:12</t>
  </si>
  <si>
    <t>5B600603</t>
  </si>
  <si>
    <t>14:04:51</t>
  </si>
  <si>
    <t>5B600604</t>
  </si>
  <si>
    <t>14:05:22</t>
  </si>
  <si>
    <t>5B600605</t>
  </si>
  <si>
    <t>14:05:54</t>
  </si>
  <si>
    <t>5B600606</t>
  </si>
  <si>
    <t>14:06:48</t>
  </si>
  <si>
    <t>5B600607</t>
  </si>
  <si>
    <t>14:07:33</t>
  </si>
  <si>
    <t>5B600608</t>
  </si>
  <si>
    <t>Bông b 1h đ.tròn vt</t>
  </si>
  <si>
    <t>14:08:26</t>
  </si>
  <si>
    <t>5B600609</t>
  </si>
  <si>
    <t>Bông b 1h đ.hoa vt</t>
  </si>
  <si>
    <t>14:09:16</t>
  </si>
  <si>
    <t>5B600610</t>
  </si>
  <si>
    <t>Bông b 1h ovan 1hg vt</t>
  </si>
  <si>
    <t>14:10:19</t>
  </si>
  <si>
    <t>5B600611</t>
  </si>
  <si>
    <t>Bông đ 1h đ.hoa ovan vt</t>
  </si>
  <si>
    <t>14:11:16</t>
  </si>
  <si>
    <t>5B600615</t>
  </si>
  <si>
    <t>14:18:27</t>
  </si>
  <si>
    <t>5B600616</t>
  </si>
  <si>
    <t>14:18:54</t>
  </si>
  <si>
    <t>5B600617</t>
  </si>
  <si>
    <t>14:20:35</t>
  </si>
  <si>
    <t>5B600618</t>
  </si>
  <si>
    <t>14:21:01</t>
  </si>
  <si>
    <t>5B600619</t>
  </si>
  <si>
    <t>14:21:30</t>
  </si>
  <si>
    <t>5B600620</t>
  </si>
  <si>
    <t>14:22:05</t>
  </si>
  <si>
    <t>5B600621</t>
  </si>
  <si>
    <t>14:22:44</t>
  </si>
  <si>
    <t>5B600645</t>
  </si>
  <si>
    <t>14:48:04</t>
  </si>
  <si>
    <t>5B600642</t>
  </si>
  <si>
    <t>14:45:23</t>
  </si>
  <si>
    <t>5B600601</t>
  </si>
  <si>
    <t>14:03:36</t>
  </si>
  <si>
    <t>5B600634</t>
  </si>
  <si>
    <t>Bông đ hoa 5c v.bi mm</t>
  </si>
  <si>
    <t>14:37:47</t>
  </si>
  <si>
    <t>5B600635</t>
  </si>
  <si>
    <t>Bông đ hoa đá đen v.bi</t>
  </si>
  <si>
    <t>14:39:46</t>
  </si>
  <si>
    <t>5B600658</t>
  </si>
  <si>
    <t>15:05:42</t>
  </si>
  <si>
    <t>5B600647</t>
  </si>
  <si>
    <t>14:50:38</t>
  </si>
  <si>
    <t>5B600648</t>
  </si>
  <si>
    <t>14:51:09</t>
  </si>
  <si>
    <t>5B600661</t>
  </si>
  <si>
    <t>15:11:05</t>
  </si>
  <si>
    <t>5N600541</t>
  </si>
  <si>
    <t>Nhẫn ni16 1h đ.vuông baget vt</t>
  </si>
  <si>
    <t>12:56:57</t>
  </si>
  <si>
    <t>5N600579</t>
  </si>
  <si>
    <t>Nhẫn ni15 1h đ.hoa vt</t>
  </si>
  <si>
    <t>13:26:04</t>
  </si>
  <si>
    <t>5B600612</t>
  </si>
  <si>
    <t>14:12:26</t>
  </si>
  <si>
    <t>5N600600</t>
  </si>
  <si>
    <t>Nhẫn ni13 1h cao đ.vuông mo baget vt</t>
  </si>
  <si>
    <t>13:45:18</t>
  </si>
  <si>
    <t>5N600593</t>
  </si>
  <si>
    <t>Nhẫn N ni20 1h đ.vuông baget vt</t>
  </si>
  <si>
    <t>13:36:23</t>
  </si>
  <si>
    <t>5N600594</t>
  </si>
  <si>
    <t>Nhẫn N ni18 1h đ.vuông baget vt</t>
  </si>
  <si>
    <t>13:38:46</t>
  </si>
  <si>
    <t>5N600595</t>
  </si>
  <si>
    <t>Nhẫn N ni17 1h đ.vuông baget vt</t>
  </si>
  <si>
    <t>13:39:33</t>
  </si>
  <si>
    <t>5N600596</t>
  </si>
  <si>
    <t>Nhẫn ni16 kim tiền tm</t>
  </si>
  <si>
    <t>13:40:31</t>
  </si>
  <si>
    <t>5N600567</t>
  </si>
  <si>
    <t>13:19:07</t>
  </si>
  <si>
    <t>5N600562</t>
  </si>
  <si>
    <t>13:15:21</t>
  </si>
  <si>
    <t>416</t>
  </si>
  <si>
    <t>Nhẫn trơn 999</t>
  </si>
  <si>
    <t>NT999</t>
  </si>
  <si>
    <t>Mã SP</t>
  </si>
  <si>
    <t>Tên sản phẩm</t>
  </si>
  <si>
    <t>VNT416B</t>
  </si>
  <si>
    <t>VNT416D</t>
  </si>
  <si>
    <t>VNT416L</t>
  </si>
  <si>
    <t>VNT416M</t>
  </si>
  <si>
    <t>VNT416N</t>
  </si>
  <si>
    <t>VNT416V</t>
  </si>
  <si>
    <t>Vàng nữ trang 416 Bông</t>
  </si>
  <si>
    <t xml:space="preserve">Vàng nữ trang 416 Dây </t>
  </si>
  <si>
    <t xml:space="preserve">Vàng nữ trang 416 Lắc </t>
  </si>
  <si>
    <t xml:space="preserve">Vàng nữ trang 416 Mặt </t>
  </si>
  <si>
    <t>Vàng nữ trang 416 Nhẫn</t>
  </si>
  <si>
    <t>Vàng nữ trang 416 Vòng</t>
  </si>
  <si>
    <t>999</t>
  </si>
  <si>
    <t>CÔNG TY TNHH HIỆP THÀNH JEWELRY</t>
  </si>
  <si>
    <t>Địa chỉ : 26A/1 Nguyễn Ảnh Thủ, KP33, P.Tân Thới Hiệp, TPHCM</t>
  </si>
  <si>
    <t>MST : 0318586763</t>
  </si>
  <si>
    <t>BẢNG TÍNH GIÁ THÀNH SẢN PHẨM</t>
  </si>
  <si>
    <t>STT</t>
  </si>
  <si>
    <t>Tên Sản Phẩm</t>
  </si>
  <si>
    <t>Tuổi vàng</t>
  </si>
  <si>
    <t>Tỷ lệ hao hụt</t>
  </si>
  <si>
    <t>Tổng cân</t>
  </si>
  <si>
    <t>TL Hột</t>
  </si>
  <si>
    <t>TỔNG GIÁ THÀNH</t>
  </si>
  <si>
    <t>NVL CHÍNH</t>
  </si>
  <si>
    <t>TL vàng nhận về</t>
  </si>
  <si>
    <t>Tỷ giá</t>
  </si>
  <si>
    <t>Thành tiền</t>
  </si>
  <si>
    <t>Đơn giá công/ món</t>
  </si>
  <si>
    <t>Tổng tiền Công</t>
  </si>
  <si>
    <t>HOÀNG THANH KIM HUỆ</t>
  </si>
  <si>
    <t>Ngày …….Tháng ………. năm 2026</t>
  </si>
  <si>
    <t>TL Vàng gia công</t>
  </si>
  <si>
    <t>Số lượng</t>
  </si>
  <si>
    <t>Quy 999</t>
  </si>
  <si>
    <t>- Từ số 1 đến sô 8 : dữ liệu trong sheet " DL tổng hợp"</t>
  </si>
  <si>
    <t>- Số 12 : lập công thức : 10x11</t>
  </si>
  <si>
    <t>- số 13+14 : dữ liệu trong sheet " DL tổng hợp"</t>
  </si>
  <si>
    <t>- Số 17 : lập công thứ : 9/8 - 1 ( anh xem công thứ tại ô)</t>
  </si>
  <si>
    <t>Kế Toán</t>
  </si>
  <si>
    <t>Người lập biểu</t>
  </si>
  <si>
    <t>Giám Đốc</t>
  </si>
  <si>
    <t>Ngày…….. Tháng …….năm 2026</t>
  </si>
  <si>
    <t>Anh xem có cách nào 1 lô hàng ( có nhiều dòng SP) mà mình chỉ chọn lần để chuyển sang sheeet Z sản phẩm được ko</t>
  </si>
  <si>
    <t>Tiền công</t>
  </si>
  <si>
    <t>Ngày nhập kho</t>
  </si>
  <si>
    <t>Tổng Công có VAT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</si>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</sst>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_);\(#,##0.0\)"/>
    <numFmt numFmtId="167" formatCode="#,##0.000"/>
    <numFmt numFmtId="168" formatCode="_(* #,##0.0_);_(* \(#,##0.0\);_(* &quot;-&quot;?_);_(@_)"/>
    <numFmt numFmtId="169" formatCode="#,##0.000_);\(#,##0.000\)"/>
    <numFmt numFmtId="170" formatCode="_(* #,##0.000_);_(* \(#,##0.000\);_(* &quot;-&quot;??_);_(@_)"/>
    <numFmt numFmtId="171" formatCode="_(* #,##0.000_);_(* \(#,##0.000\);_(* &quot;-&quot;???_);_(@_)"/>
    <numFmt numFmtId="172" formatCode="_(* #,##0.0000_);_(* \(#,##0.0000\);_(* &quot;-&quot;??_);_(@_)"/>
    <numFmt numFmtId="173" formatCode="0.000"/>
    <numFmt numFmtId="174" formatCode="0.0000"/>
  </numFmts>
  <fonts count="12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sz val="13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Border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 applyNumberFormat="1" applyFill="1" applyAlignment="1" applyProtection="1"/>
    <xf numFmtId="0" fontId="3" fillId="2" borderId="1" xfId="0" applyNumberFormat="1" applyFont="1" applyFill="1" applyBorder="1" applyAlignment="1" applyProtection="1">
      <alignment horizontal="left"/>
    </xf>
    <xf numFmtId="14" fontId="0" fillId="0" borderId="0" xfId="0" applyNumberFormat="1" applyFill="1" applyAlignment="1" applyProtection="1"/>
    <xf numFmtId="0" fontId="0" fillId="0" borderId="0" xfId="0" quotePrefix="1" applyNumberFormat="1" applyFill="1" applyAlignment="1" applyProtection="1"/>
    <xf numFmtId="165" fontId="0" fillId="0" borderId="0" xfId="1" applyNumberFormat="1" applyFont="1" applyFill="1" applyAlignment="1" applyProtection="1"/>
    <xf numFmtId="0" fontId="1" fillId="0" borderId="0" xfId="2"/>
    <xf numFmtId="0" fontId="6" fillId="0" borderId="0" xfId="2" applyFont="1" applyAlignment="1">
      <alignment horizontal="left"/>
    </xf>
    <xf numFmtId="14" fontId="6" fillId="0" borderId="0" xfId="2" applyNumberFormat="1" applyFont="1" applyAlignment="1">
      <alignment horizontal="left"/>
    </xf>
    <xf numFmtId="0" fontId="6" fillId="0" borderId="0" xfId="2" applyFont="1"/>
    <xf numFmtId="43" fontId="6" fillId="0" borderId="0" xfId="3" applyFont="1"/>
    <xf numFmtId="3" fontId="6" fillId="0" borderId="0" xfId="2" applyNumberFormat="1" applyFont="1" applyAlignment="1">
      <alignment horizontal="center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wrapText="1"/>
    </xf>
    <xf numFmtId="0" fontId="6" fillId="0" borderId="4" xfId="2" applyFont="1" applyBorder="1" applyAlignment="1">
      <alignment horizontal="center"/>
    </xf>
    <xf numFmtId="0" fontId="6" fillId="3" borderId="4" xfId="2" applyFont="1" applyFill="1" applyBorder="1" applyAlignment="1">
      <alignment horizontal="center" vertical="center" wrapText="1"/>
    </xf>
    <xf numFmtId="166" fontId="6" fillId="3" borderId="4" xfId="3" quotePrefix="1" applyNumberFormat="1" applyFont="1" applyFill="1" applyBorder="1" applyAlignment="1">
      <alignment horizontal="center" vertical="center" wrapText="1"/>
    </xf>
    <xf numFmtId="43" fontId="6" fillId="3" borderId="4" xfId="3" quotePrefix="1" applyFont="1" applyFill="1" applyBorder="1" applyAlignment="1">
      <alignment horizontal="center" vertical="center" wrapText="1"/>
    </xf>
    <xf numFmtId="39" fontId="6" fillId="3" borderId="4" xfId="3" applyNumberFormat="1" applyFont="1" applyFill="1" applyBorder="1" applyAlignment="1">
      <alignment horizontal="center" vertical="center" wrapText="1"/>
    </xf>
    <xf numFmtId="165" fontId="6" fillId="0" borderId="4" xfId="2" applyNumberFormat="1" applyFont="1" applyBorder="1" applyAlignment="1">
      <alignment horizontal="center" vertical="center" wrapText="1"/>
    </xf>
    <xf numFmtId="165" fontId="6" fillId="0" borderId="0" xfId="2" applyNumberFormat="1" applyFont="1"/>
    <xf numFmtId="14" fontId="6" fillId="0" borderId="4" xfId="2" applyNumberFormat="1" applyFont="1" applyBorder="1" applyAlignment="1">
      <alignment horizontal="center"/>
    </xf>
    <xf numFmtId="0" fontId="6" fillId="3" borderId="4" xfId="2" applyFont="1" applyFill="1" applyBorder="1" applyAlignment="1">
      <alignment horizontal="left" vertical="center" wrapText="1"/>
    </xf>
    <xf numFmtId="0" fontId="7" fillId="3" borderId="4" xfId="2" applyFont="1" applyFill="1" applyBorder="1" applyAlignment="1">
      <alignment horizontal="center" vertical="center" wrapText="1"/>
    </xf>
    <xf numFmtId="14" fontId="6" fillId="0" borderId="0" xfId="2" applyNumberFormat="1" applyFont="1" applyAlignment="1">
      <alignment horizontal="center"/>
    </xf>
    <xf numFmtId="166" fontId="6" fillId="3" borderId="0" xfId="3" quotePrefix="1" applyNumberFormat="1" applyFont="1" applyFill="1" applyBorder="1" applyAlignment="1">
      <alignment horizontal="center" vertical="center" wrapText="1"/>
    </xf>
    <xf numFmtId="43" fontId="6" fillId="3" borderId="0" xfId="3" quotePrefix="1" applyFont="1" applyFill="1" applyBorder="1" applyAlignment="1">
      <alignment horizontal="center" vertical="center" wrapText="1"/>
    </xf>
    <xf numFmtId="2" fontId="6" fillId="0" borderId="0" xfId="2" applyNumberFormat="1" applyFont="1"/>
    <xf numFmtId="3" fontId="6" fillId="0" borderId="0" xfId="2" applyNumberFormat="1" applyFont="1"/>
    <xf numFmtId="168" fontId="6" fillId="0" borderId="0" xfId="2" applyNumberFormat="1" applyFont="1"/>
    <xf numFmtId="43" fontId="6" fillId="0" borderId="0" xfId="3" applyFont="1" applyBorder="1"/>
    <xf numFmtId="43" fontId="6" fillId="0" borderId="0" xfId="2" applyNumberFormat="1" applyFont="1"/>
    <xf numFmtId="170" fontId="6" fillId="0" borderId="0" xfId="2" applyNumberFormat="1" applyFont="1"/>
    <xf numFmtId="3" fontId="7" fillId="0" borderId="0" xfId="2" applyNumberFormat="1" applyFont="1" applyAlignment="1">
      <alignment horizontal="center"/>
    </xf>
    <xf numFmtId="169" fontId="6" fillId="0" borderId="0" xfId="2" applyNumberFormat="1" applyFont="1"/>
    <xf numFmtId="167" fontId="6" fillId="0" borderId="0" xfId="2" applyNumberFormat="1" applyFont="1"/>
    <xf numFmtId="167" fontId="7" fillId="0" borderId="0" xfId="2" applyNumberFormat="1" applyFont="1" applyAlignment="1">
      <alignment horizontal="center"/>
    </xf>
    <xf numFmtId="167" fontId="6" fillId="0" borderId="0" xfId="2" applyNumberFormat="1" applyFont="1" applyAlignment="1">
      <alignment horizontal="center"/>
    </xf>
    <xf numFmtId="171" fontId="6" fillId="0" borderId="0" xfId="2" applyNumberFormat="1" applyFont="1"/>
    <xf numFmtId="172" fontId="6" fillId="0" borderId="0" xfId="2" applyNumberFormat="1" applyFont="1"/>
    <xf numFmtId="173" fontId="6" fillId="0" borderId="0" xfId="2" applyNumberFormat="1" applyFont="1"/>
    <xf numFmtId="165" fontId="6" fillId="0" borderId="0" xfId="3" applyNumberFormat="1" applyFont="1" applyBorder="1"/>
    <xf numFmtId="164" fontId="6" fillId="0" borderId="0" xfId="2" applyNumberFormat="1" applyFont="1"/>
    <xf numFmtId="0" fontId="8" fillId="0" borderId="0" xfId="2" applyFont="1" applyAlignment="1">
      <alignment horizontal="center"/>
    </xf>
    <xf numFmtId="14" fontId="8" fillId="0" borderId="0" xfId="2" applyNumberFormat="1" applyFont="1" applyAlignment="1">
      <alignment horizontal="center"/>
    </xf>
    <xf numFmtId="0" fontId="8" fillId="0" borderId="0" xfId="2" applyFont="1"/>
    <xf numFmtId="43" fontId="8" fillId="0" borderId="0" xfId="3" applyFont="1"/>
    <xf numFmtId="43" fontId="8" fillId="0" borderId="0" xfId="2" applyNumberFormat="1" applyFont="1"/>
    <xf numFmtId="169" fontId="8" fillId="0" borderId="0" xfId="2" applyNumberFormat="1" applyFont="1"/>
    <xf numFmtId="169" fontId="9" fillId="0" borderId="0" xfId="2" applyNumberFormat="1" applyFont="1"/>
    <xf numFmtId="167" fontId="9" fillId="0" borderId="0" xfId="2" applyNumberFormat="1" applyFont="1"/>
    <xf numFmtId="170" fontId="9" fillId="0" borderId="0" xfId="2" applyNumberFormat="1" applyFont="1"/>
    <xf numFmtId="3" fontId="8" fillId="0" borderId="0" xfId="2" applyNumberFormat="1" applyFont="1" applyAlignment="1">
      <alignment horizontal="center"/>
    </xf>
    <xf numFmtId="167" fontId="9" fillId="0" borderId="0" xfId="2" applyNumberFormat="1" applyFont="1" applyAlignment="1">
      <alignment horizontal="center"/>
    </xf>
    <xf numFmtId="37" fontId="6" fillId="0" borderId="0" xfId="2" applyNumberFormat="1" applyFont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2" fontId="6" fillId="0" borderId="4" xfId="2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left"/>
    </xf>
    <xf numFmtId="0" fontId="7" fillId="0" borderId="0" xfId="2" applyFont="1" applyAlignment="1"/>
    <xf numFmtId="14" fontId="6" fillId="4" borderId="4" xfId="2" applyNumberFormat="1" applyFont="1" applyFill="1" applyBorder="1" applyAlignment="1">
      <alignment horizontal="center"/>
    </xf>
    <xf numFmtId="0" fontId="6" fillId="4" borderId="4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left" vertical="center" wrapText="1"/>
    </xf>
    <xf numFmtId="166" fontId="6" fillId="4" borderId="4" xfId="3" quotePrefix="1" applyNumberFormat="1" applyFont="1" applyFill="1" applyBorder="1" applyAlignment="1">
      <alignment horizontal="center" vertical="center" wrapText="1"/>
    </xf>
    <xf numFmtId="3" fontId="6" fillId="3" borderId="4" xfId="2" applyNumberFormat="1" applyFont="1" applyFill="1" applyBorder="1"/>
    <xf numFmtId="3" fontId="6" fillId="3" borderId="4" xfId="3" applyNumberFormat="1" applyFont="1" applyFill="1" applyBorder="1" applyAlignment="1">
      <alignment horizontal="center" vertical="center" wrapText="1"/>
    </xf>
    <xf numFmtId="3" fontId="6" fillId="4" borderId="4" xfId="3" applyNumberFormat="1" applyFont="1" applyFill="1" applyBorder="1" applyAlignment="1">
      <alignment horizontal="center" vertical="center" wrapText="1"/>
    </xf>
    <xf numFmtId="165" fontId="6" fillId="4" borderId="4" xfId="2" applyNumberFormat="1" applyFont="1" applyFill="1" applyBorder="1" applyAlignment="1">
      <alignment horizontal="center" vertical="center" wrapText="1"/>
    </xf>
    <xf numFmtId="10" fontId="6" fillId="4" borderId="4" xfId="4" quotePrefix="1" applyNumberFormat="1" applyFont="1" applyFill="1" applyBorder="1" applyAlignment="1">
      <alignment horizontal="center" vertical="center" wrapText="1"/>
    </xf>
    <xf numFmtId="165" fontId="6" fillId="0" borderId="3" xfId="1" applyNumberFormat="1" applyFont="1" applyBorder="1" applyAlignment="1">
      <alignment horizontal="center" vertical="center" wrapText="1"/>
    </xf>
    <xf numFmtId="0" fontId="6" fillId="0" borderId="0" xfId="2" applyFont="1" applyAlignment="1"/>
    <xf numFmtId="0" fontId="1" fillId="0" borderId="0" xfId="2" applyAlignment="1">
      <alignment horizontal="center"/>
    </xf>
    <xf numFmtId="0" fontId="5" fillId="0" borderId="0" xfId="2" quotePrefix="1" applyFont="1"/>
    <xf numFmtId="0" fontId="11" fillId="0" borderId="0" xfId="2" quotePrefix="1" applyFont="1"/>
    <xf numFmtId="0" fontId="7" fillId="3" borderId="5" xfId="2" applyFont="1" applyFill="1" applyBorder="1" applyAlignment="1">
      <alignment horizontal="center" vertical="center" wrapText="1"/>
    </xf>
    <xf numFmtId="3" fontId="7" fillId="3" borderId="4" xfId="2" applyNumberFormat="1" applyFont="1" applyFill="1" applyBorder="1" applyAlignment="1">
      <alignment horizontal="center" vertical="center" wrapText="1"/>
    </xf>
    <xf numFmtId="3" fontId="7" fillId="3" borderId="2" xfId="2" applyNumberFormat="1" applyFont="1" applyFill="1" applyBorder="1" applyAlignment="1">
      <alignment horizontal="center" vertical="center" wrapText="1"/>
    </xf>
    <xf numFmtId="174" fontId="6" fillId="3" borderId="4" xfId="2" applyNumberFormat="1" applyFont="1" applyFill="1" applyBorder="1" applyAlignment="1">
      <alignment horizontal="center" vertical="center" wrapText="1"/>
    </xf>
    <xf numFmtId="174" fontId="6" fillId="0" borderId="4" xfId="2" applyNumberFormat="1" applyFont="1" applyFill="1" applyBorder="1" applyAlignment="1">
      <alignment horizontal="center" vertical="center" wrapText="1"/>
    </xf>
    <xf numFmtId="174" fontId="6" fillId="4" borderId="4" xfId="3" quotePrefix="1" applyNumberFormat="1" applyFont="1" applyFill="1" applyBorder="1" applyAlignment="1">
      <alignment horizontal="center" vertical="center" wrapText="1"/>
    </xf>
    <xf numFmtId="174" fontId="6" fillId="4" borderId="4" xfId="3" applyNumberFormat="1" applyFont="1" applyFill="1" applyBorder="1" applyAlignment="1">
      <alignment horizontal="center" vertical="center" wrapText="1"/>
    </xf>
    <xf numFmtId="174" fontId="6" fillId="4" borderId="4" xfId="2" applyNumberFormat="1" applyFont="1" applyFill="1" applyBorder="1" applyAlignment="1">
      <alignment horizontal="center" vertical="center" wrapText="1"/>
    </xf>
    <xf numFmtId="166" fontId="7" fillId="3" borderId="4" xfId="3" quotePrefix="1" applyNumberFormat="1" applyFont="1" applyFill="1" applyBorder="1" applyAlignment="1">
      <alignment horizontal="center" vertical="center" wrapText="1"/>
    </xf>
    <xf numFmtId="174" fontId="7" fillId="3" borderId="4" xfId="3" quotePrefix="1" applyNumberFormat="1" applyFont="1" applyFill="1" applyBorder="1" applyAlignment="1">
      <alignment horizontal="center" vertical="center" wrapText="1"/>
    </xf>
    <xf numFmtId="167" fontId="7" fillId="3" borderId="4" xfId="2" applyNumberFormat="1" applyFont="1" applyFill="1" applyBorder="1" applyAlignment="1">
      <alignment horizontal="center" vertical="center" wrapText="1"/>
    </xf>
    <xf numFmtId="165" fontId="7" fillId="3" borderId="4" xfId="3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 applyProtection="1">
      <alignment horizontal="center"/>
    </xf>
    <xf numFmtId="0" fontId="6" fillId="0" borderId="0" xfId="2" applyFont="1" applyAlignment="1">
      <alignment horizontal="center"/>
    </xf>
    <xf numFmtId="0" fontId="7" fillId="3" borderId="2" xfId="2" applyFont="1" applyFill="1" applyBorder="1" applyAlignment="1">
      <alignment horizontal="center" vertical="center" wrapText="1"/>
    </xf>
    <xf numFmtId="0" fontId="7" fillId="3" borderId="3" xfId="2" applyFont="1" applyFill="1" applyBorder="1" applyAlignment="1">
      <alignment horizontal="center" vertical="center" wrapText="1"/>
    </xf>
    <xf numFmtId="14" fontId="7" fillId="3" borderId="2" xfId="2" applyNumberFormat="1" applyFont="1" applyFill="1" applyBorder="1" applyAlignment="1">
      <alignment horizontal="center" vertical="center" wrapText="1"/>
    </xf>
    <xf numFmtId="14" fontId="7" fillId="3" borderId="3" xfId="2" applyNumberFormat="1" applyFont="1" applyFill="1" applyBorder="1" applyAlignment="1">
      <alignment horizontal="center" vertical="center" wrapText="1"/>
    </xf>
    <xf numFmtId="43" fontId="7" fillId="3" borderId="2" xfId="3" applyFont="1" applyFill="1" applyBorder="1" applyAlignment="1">
      <alignment horizontal="center" vertical="center" wrapText="1"/>
    </xf>
    <xf numFmtId="43" fontId="7" fillId="3" borderId="3" xfId="3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/>
    </xf>
    <xf numFmtId="0" fontId="7" fillId="3" borderId="6" xfId="2" applyFont="1" applyFill="1" applyBorder="1" applyAlignment="1">
      <alignment horizontal="center"/>
    </xf>
    <xf numFmtId="0" fontId="7" fillId="3" borderId="7" xfId="2" applyFont="1" applyFill="1" applyBorder="1" applyAlignment="1">
      <alignment horizontal="center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2"/>
  <sheetViews>
    <sheetView topLeftCell="E1" workbookViewId="0">
      <selection activeCell="O3" sqref="A3:XFD859"/>
    </sheetView>
  </sheetViews>
  <sheetFormatPr defaultRowHeight="15" x14ac:dyDescent="0.25"/>
  <cols>
    <col min="1" max="1" width="10.85546875" customWidth="1"/>
    <col min="2" max="2" width="13.5703125" customWidth="1"/>
    <col min="3" max="3" width="34.7109375" customWidth="1"/>
    <col min="4" max="4" width="14.28515625" customWidth="1"/>
    <col min="5" max="5" width="32.42578125" customWidth="1"/>
    <col min="6" max="6" width="18.42578125" customWidth="1"/>
    <col min="7" max="7" width="18.7109375" customWidth="1"/>
    <col min="8" max="8" width="6.7109375" customWidth="1"/>
    <col min="9" max="9" width="12.42578125" customWidth="1"/>
    <col min="10" max="10" width="10.85546875" customWidth="1"/>
    <col min="11" max="11" width="12.28515625" customWidth="1"/>
    <col min="12" max="13" width="14.140625" customWidth="1"/>
    <col min="14" max="14" width="12.42578125" customWidth="1"/>
    <col min="15" max="15" width="20.7109375" customWidth="1"/>
    <col min="16" max="16" width="12.140625" customWidth="1"/>
    <col min="17" max="18" width="13.7109375" customWidth="1"/>
    <col min="19" max="19" width="15.140625" customWidth="1"/>
    <col min="20" max="20" width="16.42578125" customWidth="1"/>
    <col min="21" max="21" width="6.7109375" customWidth="1"/>
    <col min="22" max="22" width="15.7109375" customWidth="1"/>
    <col min="23" max="23" width="11.28515625" customWidth="1"/>
    <col min="24" max="24" width="11.42578125" customWidth="1"/>
    <col min="25" max="25" width="12" customWidth="1"/>
    <col min="26" max="26" width="19.85546875" customWidth="1"/>
    <col min="27" max="27" width="13.28515625" customWidth="1"/>
    <col min="28" max="28" width="20.7109375" customWidth="1"/>
  </cols>
  <sheetData>
    <row r="1" spans="1:28" ht="27" thickBot="1" x14ac:dyDescent="0.4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 ht="18.75" thickTop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 ht="15.75" thickTop="1" x14ac:dyDescent="0.25">
      <c r="A3" s="2">
        <v>46081</v>
      </c>
      <c r="B3" t="s">
        <v>55</v>
      </c>
      <c r="C3" t="s">
        <v>56</v>
      </c>
      <c r="D3" t="s">
        <v>57</v>
      </c>
      <c r="E3" t="s">
        <v>44</v>
      </c>
      <c r="F3" t="s">
        <v>58</v>
      </c>
      <c r="G3" t="s">
        <v>59</v>
      </c>
      <c r="H3">
        <v>1</v>
      </c>
      <c r="I3">
        <v>56.2</v>
      </c>
      <c r="J3">
        <v>0</v>
      </c>
      <c r="K3">
        <v>56.2</v>
      </c>
      <c r="L3">
        <v>420</v>
      </c>
      <c r="M3">
        <v>154</v>
      </c>
      <c r="N3">
        <v>0</v>
      </c>
      <c r="O3" t="s">
        <v>30</v>
      </c>
      <c r="P3" t="s">
        <v>31</v>
      </c>
      <c r="Q3">
        <v>0</v>
      </c>
      <c r="S3" t="s">
        <v>32</v>
      </c>
      <c r="U3">
        <v>0</v>
      </c>
      <c r="W3">
        <v>0</v>
      </c>
      <c r="X3">
        <v>0</v>
      </c>
      <c r="Y3" t="s">
        <v>60</v>
      </c>
      <c r="Z3">
        <v>0</v>
      </c>
      <c r="AB3" t="s">
        <v>61</v>
      </c>
    </row>
    <row r="4" spans="1:28" x14ac:dyDescent="0.25">
      <c r="A4" s="2">
        <v>46081</v>
      </c>
      <c r="B4" t="s">
        <v>62</v>
      </c>
      <c r="C4" t="s">
        <v>63</v>
      </c>
      <c r="D4" t="s">
        <v>57</v>
      </c>
      <c r="E4" t="s">
        <v>44</v>
      </c>
      <c r="F4" t="s">
        <v>58</v>
      </c>
      <c r="G4" t="s">
        <v>64</v>
      </c>
      <c r="H4">
        <v>1</v>
      </c>
      <c r="I4">
        <v>61.6</v>
      </c>
      <c r="J4">
        <v>7</v>
      </c>
      <c r="K4">
        <v>54.6</v>
      </c>
      <c r="L4">
        <v>620</v>
      </c>
      <c r="M4">
        <v>134</v>
      </c>
      <c r="N4">
        <v>0</v>
      </c>
      <c r="O4" t="s">
        <v>30</v>
      </c>
      <c r="P4" t="s">
        <v>31</v>
      </c>
      <c r="Q4">
        <v>0</v>
      </c>
      <c r="S4" t="s">
        <v>32</v>
      </c>
      <c r="U4">
        <v>0</v>
      </c>
      <c r="W4">
        <v>0</v>
      </c>
      <c r="X4">
        <v>0</v>
      </c>
      <c r="Y4" t="s">
        <v>65</v>
      </c>
      <c r="Z4">
        <v>0</v>
      </c>
      <c r="AB4" t="s">
        <v>61</v>
      </c>
    </row>
    <row r="5" spans="1:28" x14ac:dyDescent="0.25">
      <c r="A5" s="2">
        <v>46081</v>
      </c>
      <c r="B5" t="s">
        <v>66</v>
      </c>
      <c r="C5" t="s">
        <v>52</v>
      </c>
      <c r="D5" t="s">
        <v>57</v>
      </c>
      <c r="E5" t="s">
        <v>44</v>
      </c>
      <c r="F5" t="s">
        <v>58</v>
      </c>
      <c r="G5" t="s">
        <v>64</v>
      </c>
      <c r="H5">
        <v>1</v>
      </c>
      <c r="I5">
        <v>141.6</v>
      </c>
      <c r="J5">
        <v>0</v>
      </c>
      <c r="K5">
        <v>141.6</v>
      </c>
      <c r="L5">
        <v>960</v>
      </c>
      <c r="M5">
        <v>134</v>
      </c>
      <c r="N5">
        <v>0</v>
      </c>
      <c r="O5" t="s">
        <v>30</v>
      </c>
      <c r="P5" t="s">
        <v>31</v>
      </c>
      <c r="Q5">
        <v>0</v>
      </c>
      <c r="S5" t="s">
        <v>32</v>
      </c>
      <c r="U5">
        <v>0</v>
      </c>
      <c r="W5">
        <v>0</v>
      </c>
      <c r="X5">
        <v>0</v>
      </c>
      <c r="Y5" t="s">
        <v>67</v>
      </c>
      <c r="Z5">
        <v>0</v>
      </c>
      <c r="AB5" t="s">
        <v>61</v>
      </c>
    </row>
    <row r="6" spans="1:28" x14ac:dyDescent="0.25">
      <c r="A6" s="2">
        <v>46081</v>
      </c>
      <c r="B6" t="s">
        <v>68</v>
      </c>
      <c r="C6" t="s">
        <v>52</v>
      </c>
      <c r="D6" t="s">
        <v>57</v>
      </c>
      <c r="E6" t="s">
        <v>44</v>
      </c>
      <c r="F6" t="s">
        <v>58</v>
      </c>
      <c r="G6" t="s">
        <v>64</v>
      </c>
      <c r="H6">
        <v>1</v>
      </c>
      <c r="I6">
        <v>123.4</v>
      </c>
      <c r="J6">
        <v>0</v>
      </c>
      <c r="K6">
        <v>123.4</v>
      </c>
      <c r="L6">
        <v>900</v>
      </c>
      <c r="M6">
        <v>134</v>
      </c>
      <c r="N6">
        <v>0</v>
      </c>
      <c r="O6" t="s">
        <v>30</v>
      </c>
      <c r="P6" t="s">
        <v>31</v>
      </c>
      <c r="Q6">
        <v>0</v>
      </c>
      <c r="S6" t="s">
        <v>32</v>
      </c>
      <c r="U6">
        <v>0</v>
      </c>
      <c r="W6">
        <v>0</v>
      </c>
      <c r="X6">
        <v>0</v>
      </c>
      <c r="Y6" t="s">
        <v>69</v>
      </c>
      <c r="Z6">
        <v>0</v>
      </c>
      <c r="AB6" t="s">
        <v>61</v>
      </c>
    </row>
    <row r="7" spans="1:28" x14ac:dyDescent="0.25">
      <c r="A7" s="2">
        <v>46081</v>
      </c>
      <c r="B7" t="s">
        <v>70</v>
      </c>
      <c r="C7" t="s">
        <v>52</v>
      </c>
      <c r="D7" t="s">
        <v>57</v>
      </c>
      <c r="E7" t="s">
        <v>44</v>
      </c>
      <c r="F7" t="s">
        <v>58</v>
      </c>
      <c r="G7" t="s">
        <v>64</v>
      </c>
      <c r="H7">
        <v>1</v>
      </c>
      <c r="I7">
        <v>134.6</v>
      </c>
      <c r="J7">
        <v>0</v>
      </c>
      <c r="K7">
        <v>134.6</v>
      </c>
      <c r="L7">
        <v>920</v>
      </c>
      <c r="M7">
        <v>134</v>
      </c>
      <c r="N7">
        <v>0</v>
      </c>
      <c r="O7" t="s">
        <v>30</v>
      </c>
      <c r="P7" t="s">
        <v>31</v>
      </c>
      <c r="Q7">
        <v>0</v>
      </c>
      <c r="S7" t="s">
        <v>32</v>
      </c>
      <c r="U7">
        <v>0</v>
      </c>
      <c r="W7">
        <v>0</v>
      </c>
      <c r="X7">
        <v>0</v>
      </c>
      <c r="Y7" t="s">
        <v>71</v>
      </c>
      <c r="Z7">
        <v>0</v>
      </c>
      <c r="AB7" t="s">
        <v>61</v>
      </c>
    </row>
    <row r="8" spans="1:28" x14ac:dyDescent="0.25">
      <c r="A8" s="2">
        <v>46081</v>
      </c>
      <c r="B8" t="s">
        <v>72</v>
      </c>
      <c r="C8" t="s">
        <v>52</v>
      </c>
      <c r="D8" t="s">
        <v>57</v>
      </c>
      <c r="E8" t="s">
        <v>44</v>
      </c>
      <c r="F8" t="s">
        <v>58</v>
      </c>
      <c r="G8" t="s">
        <v>64</v>
      </c>
      <c r="H8">
        <v>1</v>
      </c>
      <c r="I8">
        <v>131.4</v>
      </c>
      <c r="J8">
        <v>0</v>
      </c>
      <c r="K8">
        <v>131.4</v>
      </c>
      <c r="L8">
        <v>920</v>
      </c>
      <c r="M8">
        <v>134</v>
      </c>
      <c r="N8">
        <v>0</v>
      </c>
      <c r="O8" t="s">
        <v>30</v>
      </c>
      <c r="P8" t="s">
        <v>31</v>
      </c>
      <c r="Q8">
        <v>0</v>
      </c>
      <c r="S8" t="s">
        <v>32</v>
      </c>
      <c r="U8">
        <v>0</v>
      </c>
      <c r="W8">
        <v>0</v>
      </c>
      <c r="X8">
        <v>0</v>
      </c>
      <c r="Y8" t="s">
        <v>73</v>
      </c>
      <c r="Z8">
        <v>0</v>
      </c>
      <c r="AB8" t="s">
        <v>61</v>
      </c>
    </row>
    <row r="9" spans="1:28" x14ac:dyDescent="0.25">
      <c r="A9" s="2">
        <v>46081</v>
      </c>
      <c r="B9" t="s">
        <v>74</v>
      </c>
      <c r="C9" t="s">
        <v>75</v>
      </c>
      <c r="D9" t="s">
        <v>57</v>
      </c>
      <c r="E9" t="s">
        <v>38</v>
      </c>
      <c r="F9" t="s">
        <v>58</v>
      </c>
      <c r="G9" t="s">
        <v>64</v>
      </c>
      <c r="H9">
        <v>1</v>
      </c>
      <c r="I9">
        <v>213</v>
      </c>
      <c r="J9">
        <v>46.5</v>
      </c>
      <c r="K9">
        <v>166.5</v>
      </c>
      <c r="L9">
        <v>1360</v>
      </c>
      <c r="M9">
        <v>134</v>
      </c>
      <c r="N9">
        <v>0</v>
      </c>
      <c r="O9" t="s">
        <v>30</v>
      </c>
      <c r="P9" t="s">
        <v>31</v>
      </c>
      <c r="Q9">
        <v>0</v>
      </c>
      <c r="S9" t="s">
        <v>32</v>
      </c>
      <c r="U9">
        <v>0</v>
      </c>
      <c r="W9">
        <v>0</v>
      </c>
      <c r="X9">
        <v>0</v>
      </c>
      <c r="Y9" t="s">
        <v>76</v>
      </c>
      <c r="Z9">
        <v>0</v>
      </c>
      <c r="AB9" t="s">
        <v>61</v>
      </c>
    </row>
    <row r="10" spans="1:28" x14ac:dyDescent="0.25">
      <c r="A10" s="2">
        <v>46081</v>
      </c>
      <c r="B10" t="s">
        <v>77</v>
      </c>
      <c r="C10" t="s">
        <v>78</v>
      </c>
      <c r="D10" t="s">
        <v>57</v>
      </c>
      <c r="E10" t="s">
        <v>38</v>
      </c>
      <c r="F10" t="s">
        <v>58</v>
      </c>
      <c r="G10" t="s">
        <v>64</v>
      </c>
      <c r="H10">
        <v>1</v>
      </c>
      <c r="I10">
        <v>143.80000000000001</v>
      </c>
      <c r="J10">
        <v>23.6</v>
      </c>
      <c r="K10">
        <v>120.2</v>
      </c>
      <c r="L10">
        <v>1030</v>
      </c>
      <c r="M10">
        <v>134</v>
      </c>
      <c r="N10">
        <v>0</v>
      </c>
      <c r="O10" t="s">
        <v>30</v>
      </c>
      <c r="P10" t="s">
        <v>31</v>
      </c>
      <c r="Q10">
        <v>0</v>
      </c>
      <c r="S10" t="s">
        <v>32</v>
      </c>
      <c r="U10">
        <v>0</v>
      </c>
      <c r="W10">
        <v>0</v>
      </c>
      <c r="X10">
        <v>0</v>
      </c>
      <c r="Y10" t="s">
        <v>79</v>
      </c>
      <c r="Z10">
        <v>0</v>
      </c>
      <c r="AB10" t="s">
        <v>61</v>
      </c>
    </row>
    <row r="11" spans="1:28" x14ac:dyDescent="0.25">
      <c r="A11" s="2">
        <v>46081</v>
      </c>
      <c r="B11" t="s">
        <v>80</v>
      </c>
      <c r="C11" t="s">
        <v>51</v>
      </c>
      <c r="D11" t="s">
        <v>57</v>
      </c>
      <c r="E11" t="s">
        <v>44</v>
      </c>
      <c r="F11" t="s">
        <v>58</v>
      </c>
      <c r="G11" t="s">
        <v>59</v>
      </c>
      <c r="H11">
        <v>1</v>
      </c>
      <c r="I11">
        <v>91.2</v>
      </c>
      <c r="J11">
        <v>0</v>
      </c>
      <c r="K11">
        <v>91.2</v>
      </c>
      <c r="L11">
        <v>550</v>
      </c>
      <c r="M11">
        <v>154</v>
      </c>
      <c r="N11">
        <v>0</v>
      </c>
      <c r="O11" t="s">
        <v>30</v>
      </c>
      <c r="P11" t="s">
        <v>31</v>
      </c>
      <c r="Q11">
        <v>0</v>
      </c>
      <c r="S11" t="s">
        <v>32</v>
      </c>
      <c r="U11">
        <v>0</v>
      </c>
      <c r="W11">
        <v>0</v>
      </c>
      <c r="X11">
        <v>0</v>
      </c>
      <c r="Y11" t="s">
        <v>81</v>
      </c>
      <c r="Z11">
        <v>0</v>
      </c>
      <c r="AB11" t="s">
        <v>61</v>
      </c>
    </row>
    <row r="12" spans="1:28" x14ac:dyDescent="0.25">
      <c r="A12" s="2">
        <v>46081</v>
      </c>
      <c r="B12" t="s">
        <v>82</v>
      </c>
      <c r="C12" t="s">
        <v>83</v>
      </c>
      <c r="D12" t="s">
        <v>57</v>
      </c>
      <c r="E12" t="s">
        <v>84</v>
      </c>
      <c r="F12" t="s">
        <v>58</v>
      </c>
      <c r="G12" t="s">
        <v>59</v>
      </c>
      <c r="H12">
        <v>1</v>
      </c>
      <c r="I12">
        <v>31.8</v>
      </c>
      <c r="J12">
        <v>0</v>
      </c>
      <c r="K12">
        <v>31.8</v>
      </c>
      <c r="L12">
        <v>420</v>
      </c>
      <c r="M12">
        <v>154</v>
      </c>
      <c r="N12">
        <v>0</v>
      </c>
      <c r="O12" t="s">
        <v>30</v>
      </c>
      <c r="P12" t="s">
        <v>31</v>
      </c>
      <c r="Q12">
        <v>0</v>
      </c>
      <c r="S12" t="s">
        <v>32</v>
      </c>
      <c r="U12">
        <v>0</v>
      </c>
      <c r="W12">
        <v>0</v>
      </c>
      <c r="X12">
        <v>0</v>
      </c>
      <c r="Y12" t="s">
        <v>85</v>
      </c>
      <c r="Z12">
        <v>0</v>
      </c>
      <c r="AB12" t="s">
        <v>61</v>
      </c>
    </row>
    <row r="13" spans="1:28" x14ac:dyDescent="0.25">
      <c r="A13" s="2">
        <v>46081</v>
      </c>
      <c r="B13" t="s">
        <v>86</v>
      </c>
      <c r="C13" t="s">
        <v>51</v>
      </c>
      <c r="D13" t="s">
        <v>57</v>
      </c>
      <c r="E13" t="s">
        <v>84</v>
      </c>
      <c r="F13" t="s">
        <v>58</v>
      </c>
      <c r="G13" t="s">
        <v>59</v>
      </c>
      <c r="H13">
        <v>1</v>
      </c>
      <c r="I13">
        <v>46.4</v>
      </c>
      <c r="J13">
        <v>0</v>
      </c>
      <c r="K13">
        <v>46.4</v>
      </c>
      <c r="L13">
        <v>410</v>
      </c>
      <c r="M13">
        <v>154</v>
      </c>
      <c r="N13">
        <v>0</v>
      </c>
      <c r="O13" t="s">
        <v>30</v>
      </c>
      <c r="P13" t="s">
        <v>31</v>
      </c>
      <c r="Q13">
        <v>0</v>
      </c>
      <c r="S13" t="s">
        <v>32</v>
      </c>
      <c r="U13">
        <v>0</v>
      </c>
      <c r="W13">
        <v>0</v>
      </c>
      <c r="X13">
        <v>0</v>
      </c>
      <c r="Y13" t="s">
        <v>87</v>
      </c>
      <c r="Z13">
        <v>0</v>
      </c>
      <c r="AB13" t="s">
        <v>61</v>
      </c>
    </row>
    <row r="14" spans="1:28" x14ac:dyDescent="0.25">
      <c r="A14" s="2">
        <v>46081</v>
      </c>
      <c r="B14" t="s">
        <v>88</v>
      </c>
      <c r="C14" t="s">
        <v>89</v>
      </c>
      <c r="D14" t="s">
        <v>57</v>
      </c>
      <c r="E14" t="s">
        <v>53</v>
      </c>
      <c r="F14" t="s">
        <v>58</v>
      </c>
      <c r="G14" t="s">
        <v>90</v>
      </c>
      <c r="H14">
        <v>1</v>
      </c>
      <c r="I14">
        <v>366.8</v>
      </c>
      <c r="J14">
        <v>35</v>
      </c>
      <c r="K14">
        <v>331.8</v>
      </c>
      <c r="L14">
        <v>2000</v>
      </c>
      <c r="M14">
        <v>169</v>
      </c>
      <c r="N14">
        <v>0</v>
      </c>
      <c r="O14" t="s">
        <v>30</v>
      </c>
      <c r="P14" t="s">
        <v>31</v>
      </c>
      <c r="Q14">
        <v>0</v>
      </c>
      <c r="S14" t="s">
        <v>32</v>
      </c>
      <c r="U14">
        <v>0</v>
      </c>
      <c r="W14">
        <v>41.6</v>
      </c>
      <c r="X14">
        <v>41.6</v>
      </c>
      <c r="Y14" t="s">
        <v>91</v>
      </c>
      <c r="Z14">
        <v>0</v>
      </c>
      <c r="AB14" t="s">
        <v>61</v>
      </c>
    </row>
    <row r="15" spans="1:28" x14ac:dyDescent="0.25">
      <c r="A15" s="2">
        <v>46081</v>
      </c>
      <c r="B15" t="s">
        <v>92</v>
      </c>
      <c r="C15" t="s">
        <v>93</v>
      </c>
      <c r="D15" t="s">
        <v>57</v>
      </c>
      <c r="E15" t="s">
        <v>53</v>
      </c>
      <c r="F15" t="s">
        <v>58</v>
      </c>
      <c r="G15" t="s">
        <v>90</v>
      </c>
      <c r="H15">
        <v>1</v>
      </c>
      <c r="I15">
        <v>302.60000000000002</v>
      </c>
      <c r="J15">
        <v>19</v>
      </c>
      <c r="K15">
        <v>283.60000000000002</v>
      </c>
      <c r="L15">
        <v>1740</v>
      </c>
      <c r="M15">
        <v>163</v>
      </c>
      <c r="N15">
        <v>0</v>
      </c>
      <c r="O15" t="s">
        <v>30</v>
      </c>
      <c r="P15" t="s">
        <v>31</v>
      </c>
      <c r="Q15">
        <v>0</v>
      </c>
      <c r="S15" t="s">
        <v>32</v>
      </c>
      <c r="U15">
        <v>0</v>
      </c>
      <c r="W15">
        <v>0</v>
      </c>
      <c r="X15">
        <v>0</v>
      </c>
      <c r="Y15" t="s">
        <v>94</v>
      </c>
      <c r="Z15">
        <v>0</v>
      </c>
      <c r="AB15" t="s">
        <v>61</v>
      </c>
    </row>
    <row r="16" spans="1:28" x14ac:dyDescent="0.25">
      <c r="A16" s="2">
        <v>46081</v>
      </c>
      <c r="B16" t="s">
        <v>95</v>
      </c>
      <c r="C16" t="s">
        <v>96</v>
      </c>
      <c r="D16" t="s">
        <v>57</v>
      </c>
      <c r="E16" t="s">
        <v>53</v>
      </c>
      <c r="F16" t="s">
        <v>58</v>
      </c>
      <c r="G16" t="s">
        <v>90</v>
      </c>
      <c r="H16">
        <v>1</v>
      </c>
      <c r="I16">
        <v>310</v>
      </c>
      <c r="J16">
        <v>44</v>
      </c>
      <c r="K16">
        <v>266</v>
      </c>
      <c r="L16">
        <v>1640</v>
      </c>
      <c r="M16">
        <v>163</v>
      </c>
      <c r="N16">
        <v>0</v>
      </c>
      <c r="O16" t="s">
        <v>30</v>
      </c>
      <c r="P16" t="s">
        <v>31</v>
      </c>
      <c r="Q16">
        <v>0</v>
      </c>
      <c r="S16" t="s">
        <v>32</v>
      </c>
      <c r="U16">
        <v>0</v>
      </c>
      <c r="W16">
        <v>0</v>
      </c>
      <c r="X16">
        <v>0</v>
      </c>
      <c r="Y16" t="s">
        <v>97</v>
      </c>
      <c r="Z16">
        <v>0</v>
      </c>
      <c r="AB16" t="s">
        <v>61</v>
      </c>
    </row>
    <row r="17" spans="1:28" x14ac:dyDescent="0.25">
      <c r="A17" s="2">
        <v>46081</v>
      </c>
      <c r="B17" t="s">
        <v>98</v>
      </c>
      <c r="C17" t="s">
        <v>99</v>
      </c>
      <c r="D17" t="s">
        <v>57</v>
      </c>
      <c r="E17" t="s">
        <v>38</v>
      </c>
      <c r="F17" t="s">
        <v>58</v>
      </c>
      <c r="G17" t="s">
        <v>90</v>
      </c>
      <c r="H17">
        <v>1</v>
      </c>
      <c r="I17">
        <v>238</v>
      </c>
      <c r="J17">
        <v>21.5</v>
      </c>
      <c r="K17">
        <v>216.5</v>
      </c>
      <c r="L17">
        <v>1630</v>
      </c>
      <c r="M17">
        <v>163</v>
      </c>
      <c r="N17">
        <v>0</v>
      </c>
      <c r="O17" t="s">
        <v>30</v>
      </c>
      <c r="P17" t="s">
        <v>31</v>
      </c>
      <c r="Q17">
        <v>0</v>
      </c>
      <c r="S17" t="s">
        <v>32</v>
      </c>
      <c r="U17">
        <v>0</v>
      </c>
      <c r="W17">
        <v>0</v>
      </c>
      <c r="X17">
        <v>0</v>
      </c>
      <c r="Y17" t="s">
        <v>100</v>
      </c>
      <c r="Z17">
        <v>0</v>
      </c>
      <c r="AB17" t="s">
        <v>61</v>
      </c>
    </row>
    <row r="18" spans="1:28" x14ac:dyDescent="0.25">
      <c r="A18" s="2">
        <v>46081</v>
      </c>
      <c r="B18" t="s">
        <v>101</v>
      </c>
      <c r="C18" t="s">
        <v>102</v>
      </c>
      <c r="D18" t="s">
        <v>57</v>
      </c>
      <c r="E18" t="s">
        <v>38</v>
      </c>
      <c r="F18" t="s">
        <v>58</v>
      </c>
      <c r="G18" t="s">
        <v>90</v>
      </c>
      <c r="H18">
        <v>1</v>
      </c>
      <c r="I18">
        <v>232</v>
      </c>
      <c r="J18">
        <v>23</v>
      </c>
      <c r="K18">
        <v>209</v>
      </c>
      <c r="L18">
        <v>1630</v>
      </c>
      <c r="M18">
        <v>163</v>
      </c>
      <c r="N18">
        <v>0</v>
      </c>
      <c r="O18" t="s">
        <v>30</v>
      </c>
      <c r="P18" t="s">
        <v>31</v>
      </c>
      <c r="Q18">
        <v>0</v>
      </c>
      <c r="S18" t="s">
        <v>32</v>
      </c>
      <c r="U18">
        <v>0</v>
      </c>
      <c r="W18">
        <v>0</v>
      </c>
      <c r="X18">
        <v>0</v>
      </c>
      <c r="Y18" t="s">
        <v>103</v>
      </c>
      <c r="Z18">
        <v>0</v>
      </c>
      <c r="AB18" t="s">
        <v>61</v>
      </c>
    </row>
    <row r="19" spans="1:28" x14ac:dyDescent="0.25">
      <c r="A19" s="2">
        <v>46081</v>
      </c>
      <c r="B19" t="s">
        <v>104</v>
      </c>
      <c r="C19" t="s">
        <v>50</v>
      </c>
      <c r="D19" t="s">
        <v>57</v>
      </c>
      <c r="E19" t="s">
        <v>53</v>
      </c>
      <c r="F19" t="s">
        <v>58</v>
      </c>
      <c r="G19" t="s">
        <v>64</v>
      </c>
      <c r="H19">
        <v>1</v>
      </c>
      <c r="I19">
        <v>75.599999999999994</v>
      </c>
      <c r="J19">
        <v>0</v>
      </c>
      <c r="K19">
        <v>75.599999999999994</v>
      </c>
      <c r="L19">
        <v>600</v>
      </c>
      <c r="M19">
        <v>134</v>
      </c>
      <c r="N19">
        <v>0</v>
      </c>
      <c r="O19" t="s">
        <v>30</v>
      </c>
      <c r="P19" t="s">
        <v>31</v>
      </c>
      <c r="Q19">
        <v>0</v>
      </c>
      <c r="S19" t="s">
        <v>32</v>
      </c>
      <c r="U19">
        <v>0</v>
      </c>
      <c r="W19">
        <v>0</v>
      </c>
      <c r="X19">
        <v>0</v>
      </c>
      <c r="Y19" t="s">
        <v>105</v>
      </c>
      <c r="Z19">
        <v>0</v>
      </c>
      <c r="AB19" t="s">
        <v>61</v>
      </c>
    </row>
    <row r="20" spans="1:28" x14ac:dyDescent="0.25">
      <c r="A20" s="2">
        <v>46081</v>
      </c>
      <c r="B20" t="s">
        <v>106</v>
      </c>
      <c r="C20" t="s">
        <v>107</v>
      </c>
      <c r="D20" t="s">
        <v>57</v>
      </c>
      <c r="E20" t="s">
        <v>53</v>
      </c>
      <c r="F20" t="s">
        <v>58</v>
      </c>
      <c r="G20" t="s">
        <v>59</v>
      </c>
      <c r="H20">
        <v>1</v>
      </c>
      <c r="I20">
        <v>163.80000000000001</v>
      </c>
      <c r="J20">
        <v>0</v>
      </c>
      <c r="K20">
        <v>163.80000000000001</v>
      </c>
      <c r="L20">
        <v>1080</v>
      </c>
      <c r="M20">
        <v>154</v>
      </c>
      <c r="N20">
        <v>0</v>
      </c>
      <c r="O20" t="s">
        <v>30</v>
      </c>
      <c r="P20" t="s">
        <v>31</v>
      </c>
      <c r="Q20">
        <v>0</v>
      </c>
      <c r="S20" t="s">
        <v>32</v>
      </c>
      <c r="U20">
        <v>0</v>
      </c>
      <c r="W20">
        <v>0</v>
      </c>
      <c r="X20">
        <v>0</v>
      </c>
      <c r="Y20" t="s">
        <v>108</v>
      </c>
      <c r="Z20">
        <v>0</v>
      </c>
      <c r="AB20" t="s">
        <v>61</v>
      </c>
    </row>
    <row r="21" spans="1:28" x14ac:dyDescent="0.25">
      <c r="A21" s="2">
        <v>46081</v>
      </c>
      <c r="B21" t="s">
        <v>109</v>
      </c>
      <c r="C21" t="s">
        <v>110</v>
      </c>
      <c r="D21" t="s">
        <v>57</v>
      </c>
      <c r="E21" t="s">
        <v>111</v>
      </c>
      <c r="F21" t="s">
        <v>58</v>
      </c>
      <c r="G21" t="s">
        <v>64</v>
      </c>
      <c r="H21">
        <v>1</v>
      </c>
      <c r="I21">
        <v>226</v>
      </c>
      <c r="J21">
        <v>47.9</v>
      </c>
      <c r="K21">
        <v>178.1</v>
      </c>
      <c r="L21">
        <v>1540</v>
      </c>
      <c r="M21">
        <v>134</v>
      </c>
      <c r="N21">
        <v>0</v>
      </c>
      <c r="O21" t="s">
        <v>30</v>
      </c>
      <c r="P21" t="s">
        <v>31</v>
      </c>
      <c r="Q21">
        <v>0</v>
      </c>
      <c r="S21" t="s">
        <v>32</v>
      </c>
      <c r="U21">
        <v>0</v>
      </c>
      <c r="W21">
        <v>0</v>
      </c>
      <c r="X21">
        <v>0</v>
      </c>
      <c r="Y21" t="s">
        <v>112</v>
      </c>
      <c r="Z21">
        <v>0</v>
      </c>
      <c r="AB21" t="s">
        <v>61</v>
      </c>
    </row>
    <row r="22" spans="1:28" x14ac:dyDescent="0.25">
      <c r="A22" s="2">
        <v>46081</v>
      </c>
      <c r="B22" t="s">
        <v>113</v>
      </c>
      <c r="C22" t="s">
        <v>114</v>
      </c>
      <c r="D22" t="s">
        <v>57</v>
      </c>
      <c r="E22" t="s">
        <v>111</v>
      </c>
      <c r="F22" t="s">
        <v>58</v>
      </c>
      <c r="G22" t="s">
        <v>64</v>
      </c>
      <c r="H22">
        <v>1</v>
      </c>
      <c r="I22">
        <v>33</v>
      </c>
      <c r="J22">
        <v>0.2</v>
      </c>
      <c r="K22">
        <v>32.799999999999997</v>
      </c>
      <c r="L22">
        <v>440</v>
      </c>
      <c r="M22">
        <v>134</v>
      </c>
      <c r="N22">
        <v>0</v>
      </c>
      <c r="O22" t="s">
        <v>30</v>
      </c>
      <c r="P22" t="s">
        <v>31</v>
      </c>
      <c r="Q22">
        <v>0</v>
      </c>
      <c r="S22" t="s">
        <v>32</v>
      </c>
      <c r="U22">
        <v>0</v>
      </c>
      <c r="W22">
        <v>0</v>
      </c>
      <c r="X22">
        <v>0</v>
      </c>
      <c r="Y22" t="s">
        <v>115</v>
      </c>
      <c r="Z22">
        <v>0</v>
      </c>
      <c r="AB22" t="s">
        <v>61</v>
      </c>
    </row>
    <row r="23" spans="1:28" x14ac:dyDescent="0.25">
      <c r="A23" s="2">
        <v>46081</v>
      </c>
      <c r="B23" t="s">
        <v>116</v>
      </c>
      <c r="C23" t="s">
        <v>117</v>
      </c>
      <c r="D23" t="s">
        <v>57</v>
      </c>
      <c r="E23" t="s">
        <v>111</v>
      </c>
      <c r="F23" t="s">
        <v>58</v>
      </c>
      <c r="G23" t="s">
        <v>64</v>
      </c>
      <c r="H23">
        <v>1</v>
      </c>
      <c r="I23">
        <v>29.6</v>
      </c>
      <c r="J23">
        <v>0.3</v>
      </c>
      <c r="K23">
        <v>29.3</v>
      </c>
      <c r="L23">
        <v>440</v>
      </c>
      <c r="M23">
        <v>134</v>
      </c>
      <c r="N23">
        <v>0</v>
      </c>
      <c r="O23" t="s">
        <v>30</v>
      </c>
      <c r="P23" t="s">
        <v>31</v>
      </c>
      <c r="Q23">
        <v>0</v>
      </c>
      <c r="S23" t="s">
        <v>32</v>
      </c>
      <c r="U23">
        <v>0</v>
      </c>
      <c r="W23">
        <v>0</v>
      </c>
      <c r="X23">
        <v>0</v>
      </c>
      <c r="Y23" t="s">
        <v>118</v>
      </c>
      <c r="Z23">
        <v>0</v>
      </c>
      <c r="AB23" t="s">
        <v>61</v>
      </c>
    </row>
    <row r="24" spans="1:28" x14ac:dyDescent="0.25">
      <c r="A24" s="2">
        <v>46081</v>
      </c>
      <c r="B24" t="s">
        <v>119</v>
      </c>
      <c r="C24" t="s">
        <v>120</v>
      </c>
      <c r="D24" t="s">
        <v>57</v>
      </c>
      <c r="E24" t="s">
        <v>111</v>
      </c>
      <c r="F24" t="s">
        <v>58</v>
      </c>
      <c r="G24" t="s">
        <v>64</v>
      </c>
      <c r="H24">
        <v>1</v>
      </c>
      <c r="I24">
        <v>41</v>
      </c>
      <c r="J24">
        <v>1.2</v>
      </c>
      <c r="K24">
        <v>39.799999999999997</v>
      </c>
      <c r="L24">
        <v>480</v>
      </c>
      <c r="M24">
        <v>134</v>
      </c>
      <c r="N24">
        <v>0</v>
      </c>
      <c r="O24" t="s">
        <v>30</v>
      </c>
      <c r="P24" t="s">
        <v>31</v>
      </c>
      <c r="Q24">
        <v>0</v>
      </c>
      <c r="S24" t="s">
        <v>32</v>
      </c>
      <c r="U24">
        <v>0</v>
      </c>
      <c r="W24">
        <v>0</v>
      </c>
      <c r="X24">
        <v>0</v>
      </c>
      <c r="Y24" t="s">
        <v>121</v>
      </c>
      <c r="Z24">
        <v>0</v>
      </c>
      <c r="AB24" t="s">
        <v>61</v>
      </c>
    </row>
    <row r="25" spans="1:28" x14ac:dyDescent="0.25">
      <c r="A25" s="2">
        <v>46081</v>
      </c>
      <c r="B25" t="s">
        <v>122</v>
      </c>
      <c r="C25" t="s">
        <v>123</v>
      </c>
      <c r="D25" t="s">
        <v>57</v>
      </c>
      <c r="E25" t="s">
        <v>111</v>
      </c>
      <c r="F25" t="s">
        <v>58</v>
      </c>
      <c r="G25" t="s">
        <v>90</v>
      </c>
      <c r="H25">
        <v>1</v>
      </c>
      <c r="I25">
        <v>176.2</v>
      </c>
      <c r="J25">
        <v>40.200000000000003</v>
      </c>
      <c r="K25">
        <v>136</v>
      </c>
      <c r="L25">
        <v>1330</v>
      </c>
      <c r="M25">
        <v>163</v>
      </c>
      <c r="N25">
        <v>0</v>
      </c>
      <c r="O25" t="s">
        <v>30</v>
      </c>
      <c r="P25" t="s">
        <v>31</v>
      </c>
      <c r="Q25">
        <v>0</v>
      </c>
      <c r="S25" t="s">
        <v>32</v>
      </c>
      <c r="U25">
        <v>0</v>
      </c>
      <c r="W25">
        <v>0</v>
      </c>
      <c r="X25">
        <v>0</v>
      </c>
      <c r="Y25" t="s">
        <v>124</v>
      </c>
      <c r="Z25">
        <v>0</v>
      </c>
      <c r="AB25" t="s">
        <v>61</v>
      </c>
    </row>
    <row r="26" spans="1:28" x14ac:dyDescent="0.25">
      <c r="A26" s="2">
        <v>46081</v>
      </c>
      <c r="B26" t="s">
        <v>125</v>
      </c>
      <c r="C26" t="s">
        <v>126</v>
      </c>
      <c r="D26" t="s">
        <v>57</v>
      </c>
      <c r="E26" t="s">
        <v>111</v>
      </c>
      <c r="F26" t="s">
        <v>58</v>
      </c>
      <c r="G26" t="s">
        <v>64</v>
      </c>
      <c r="H26">
        <v>1</v>
      </c>
      <c r="I26">
        <v>231.8</v>
      </c>
      <c r="J26">
        <v>6.1</v>
      </c>
      <c r="K26">
        <v>225.7</v>
      </c>
      <c r="L26">
        <v>1050</v>
      </c>
      <c r="M26">
        <v>140</v>
      </c>
      <c r="N26">
        <v>0</v>
      </c>
      <c r="O26" t="s">
        <v>30</v>
      </c>
      <c r="P26" t="s">
        <v>31</v>
      </c>
      <c r="Q26">
        <v>0</v>
      </c>
      <c r="S26" t="s">
        <v>32</v>
      </c>
      <c r="U26">
        <v>0</v>
      </c>
      <c r="W26">
        <v>41.6</v>
      </c>
      <c r="X26">
        <v>41.6</v>
      </c>
      <c r="Y26" t="s">
        <v>127</v>
      </c>
      <c r="Z26">
        <v>0</v>
      </c>
      <c r="AB26" t="s">
        <v>61</v>
      </c>
    </row>
    <row r="27" spans="1:28" x14ac:dyDescent="0.25">
      <c r="A27" s="2">
        <v>46081</v>
      </c>
      <c r="B27" t="s">
        <v>128</v>
      </c>
      <c r="C27" t="s">
        <v>129</v>
      </c>
      <c r="D27" t="s">
        <v>57</v>
      </c>
      <c r="E27" t="s">
        <v>36</v>
      </c>
      <c r="F27" t="s">
        <v>58</v>
      </c>
      <c r="G27" t="s">
        <v>59</v>
      </c>
      <c r="H27">
        <v>1</v>
      </c>
      <c r="I27">
        <v>509</v>
      </c>
      <c r="J27">
        <v>0</v>
      </c>
      <c r="K27">
        <v>509</v>
      </c>
      <c r="L27">
        <v>2500</v>
      </c>
      <c r="M27">
        <v>156</v>
      </c>
      <c r="N27">
        <v>0</v>
      </c>
      <c r="O27" t="s">
        <v>30</v>
      </c>
      <c r="P27" t="s">
        <v>31</v>
      </c>
      <c r="Q27">
        <v>0</v>
      </c>
      <c r="S27" t="s">
        <v>32</v>
      </c>
      <c r="U27">
        <v>0</v>
      </c>
      <c r="W27">
        <v>41.6</v>
      </c>
      <c r="X27">
        <v>41.6</v>
      </c>
      <c r="Y27" t="s">
        <v>130</v>
      </c>
      <c r="Z27">
        <v>0</v>
      </c>
      <c r="AB27" t="s">
        <v>61</v>
      </c>
    </row>
    <row r="28" spans="1:28" x14ac:dyDescent="0.25">
      <c r="A28" s="2">
        <v>46081</v>
      </c>
      <c r="B28" t="s">
        <v>131</v>
      </c>
      <c r="C28" t="s">
        <v>37</v>
      </c>
      <c r="D28" t="s">
        <v>57</v>
      </c>
      <c r="E28" t="s">
        <v>36</v>
      </c>
      <c r="F28" t="s">
        <v>58</v>
      </c>
      <c r="G28" t="s">
        <v>59</v>
      </c>
      <c r="H28">
        <v>1</v>
      </c>
      <c r="I28">
        <v>192.6</v>
      </c>
      <c r="J28">
        <v>0</v>
      </c>
      <c r="K28">
        <v>192.6</v>
      </c>
      <c r="L28">
        <v>1680</v>
      </c>
      <c r="M28">
        <v>154</v>
      </c>
      <c r="N28">
        <v>0</v>
      </c>
      <c r="O28" t="s">
        <v>30</v>
      </c>
      <c r="P28" t="s">
        <v>31</v>
      </c>
      <c r="Q28">
        <v>0</v>
      </c>
      <c r="S28" t="s">
        <v>32</v>
      </c>
      <c r="U28">
        <v>0</v>
      </c>
      <c r="W28">
        <v>0</v>
      </c>
      <c r="X28">
        <v>0</v>
      </c>
      <c r="Y28" t="s">
        <v>132</v>
      </c>
      <c r="Z28">
        <v>0</v>
      </c>
      <c r="AB28" t="s">
        <v>61</v>
      </c>
    </row>
    <row r="29" spans="1:28" x14ac:dyDescent="0.25">
      <c r="A29" s="2">
        <v>46081</v>
      </c>
      <c r="B29" t="s">
        <v>133</v>
      </c>
      <c r="C29" t="s">
        <v>37</v>
      </c>
      <c r="D29" t="s">
        <v>57</v>
      </c>
      <c r="E29" t="s">
        <v>36</v>
      </c>
      <c r="F29" t="s">
        <v>58</v>
      </c>
      <c r="G29" t="s">
        <v>59</v>
      </c>
      <c r="H29">
        <v>1</v>
      </c>
      <c r="I29">
        <v>194.2</v>
      </c>
      <c r="J29">
        <v>0</v>
      </c>
      <c r="K29">
        <v>194.2</v>
      </c>
      <c r="L29">
        <v>1680</v>
      </c>
      <c r="M29">
        <v>154</v>
      </c>
      <c r="N29">
        <v>0</v>
      </c>
      <c r="O29" t="s">
        <v>30</v>
      </c>
      <c r="P29" t="s">
        <v>31</v>
      </c>
      <c r="Q29">
        <v>0</v>
      </c>
      <c r="S29" t="s">
        <v>32</v>
      </c>
      <c r="U29">
        <v>0</v>
      </c>
      <c r="W29">
        <v>0</v>
      </c>
      <c r="X29">
        <v>0</v>
      </c>
      <c r="Y29" t="s">
        <v>134</v>
      </c>
      <c r="Z29">
        <v>0</v>
      </c>
      <c r="AB29" t="s">
        <v>61</v>
      </c>
    </row>
    <row r="30" spans="1:28" x14ac:dyDescent="0.25">
      <c r="A30" s="2">
        <v>46081</v>
      </c>
      <c r="B30" t="s">
        <v>135</v>
      </c>
      <c r="C30" t="s">
        <v>136</v>
      </c>
      <c r="D30" t="s">
        <v>57</v>
      </c>
      <c r="E30" t="s">
        <v>36</v>
      </c>
      <c r="F30" t="s">
        <v>58</v>
      </c>
      <c r="G30" t="s">
        <v>59</v>
      </c>
      <c r="H30">
        <v>1</v>
      </c>
      <c r="I30">
        <v>126.2</v>
      </c>
      <c r="J30">
        <v>0</v>
      </c>
      <c r="K30">
        <v>126.2</v>
      </c>
      <c r="L30">
        <v>580</v>
      </c>
      <c r="M30">
        <v>154</v>
      </c>
      <c r="N30">
        <v>0</v>
      </c>
      <c r="O30" t="s">
        <v>30</v>
      </c>
      <c r="P30" t="s">
        <v>31</v>
      </c>
      <c r="Q30">
        <v>0</v>
      </c>
      <c r="S30" t="s">
        <v>32</v>
      </c>
      <c r="U30">
        <v>0</v>
      </c>
      <c r="W30">
        <v>0</v>
      </c>
      <c r="X30">
        <v>0</v>
      </c>
      <c r="Y30" t="s">
        <v>137</v>
      </c>
      <c r="Z30">
        <v>0</v>
      </c>
      <c r="AB30" t="s">
        <v>61</v>
      </c>
    </row>
    <row r="31" spans="1:28" x14ac:dyDescent="0.25">
      <c r="A31" s="2">
        <v>46081</v>
      </c>
      <c r="B31" t="s">
        <v>138</v>
      </c>
      <c r="C31" t="s">
        <v>139</v>
      </c>
      <c r="D31" t="s">
        <v>57</v>
      </c>
      <c r="E31" t="s">
        <v>36</v>
      </c>
      <c r="F31" t="s">
        <v>58</v>
      </c>
      <c r="G31" t="s">
        <v>59</v>
      </c>
      <c r="H31">
        <v>1</v>
      </c>
      <c r="I31">
        <v>176.4</v>
      </c>
      <c r="J31">
        <v>0</v>
      </c>
      <c r="K31">
        <v>176.4</v>
      </c>
      <c r="L31">
        <v>670</v>
      </c>
      <c r="M31">
        <v>154</v>
      </c>
      <c r="N31">
        <v>0</v>
      </c>
      <c r="O31" t="s">
        <v>30</v>
      </c>
      <c r="P31" t="s">
        <v>31</v>
      </c>
      <c r="Q31">
        <v>0</v>
      </c>
      <c r="S31" t="s">
        <v>32</v>
      </c>
      <c r="U31">
        <v>0</v>
      </c>
      <c r="W31">
        <v>0</v>
      </c>
      <c r="X31">
        <v>0</v>
      </c>
      <c r="Y31" t="s">
        <v>140</v>
      </c>
      <c r="Z31">
        <v>0</v>
      </c>
      <c r="AB31" t="s">
        <v>61</v>
      </c>
    </row>
    <row r="32" spans="1:28" x14ac:dyDescent="0.25">
      <c r="A32" s="2">
        <v>46081</v>
      </c>
      <c r="B32" t="s">
        <v>141</v>
      </c>
      <c r="C32" t="s">
        <v>51</v>
      </c>
      <c r="D32" t="s">
        <v>57</v>
      </c>
      <c r="E32" t="s">
        <v>36</v>
      </c>
      <c r="F32" t="s">
        <v>58</v>
      </c>
      <c r="G32" t="s">
        <v>59</v>
      </c>
      <c r="H32">
        <v>1</v>
      </c>
      <c r="I32">
        <v>144.6</v>
      </c>
      <c r="J32">
        <v>0</v>
      </c>
      <c r="K32">
        <v>144.6</v>
      </c>
      <c r="L32">
        <v>680</v>
      </c>
      <c r="M32">
        <v>154</v>
      </c>
      <c r="N32">
        <v>0</v>
      </c>
      <c r="O32" t="s">
        <v>30</v>
      </c>
      <c r="P32" t="s">
        <v>31</v>
      </c>
      <c r="Q32">
        <v>0</v>
      </c>
      <c r="S32" t="s">
        <v>32</v>
      </c>
      <c r="U32">
        <v>0</v>
      </c>
      <c r="W32">
        <v>0</v>
      </c>
      <c r="X32">
        <v>0</v>
      </c>
      <c r="Y32" t="s">
        <v>142</v>
      </c>
      <c r="Z32">
        <v>0</v>
      </c>
      <c r="AB32" t="s">
        <v>61</v>
      </c>
    </row>
    <row r="33" spans="1:28" x14ac:dyDescent="0.25">
      <c r="A33" s="2">
        <v>46081</v>
      </c>
      <c r="B33" t="s">
        <v>143</v>
      </c>
      <c r="C33" t="s">
        <v>51</v>
      </c>
      <c r="D33" t="s">
        <v>57</v>
      </c>
      <c r="E33" t="s">
        <v>36</v>
      </c>
      <c r="F33" t="s">
        <v>58</v>
      </c>
      <c r="G33" t="s">
        <v>59</v>
      </c>
      <c r="H33">
        <v>1</v>
      </c>
      <c r="I33">
        <v>105.4</v>
      </c>
      <c r="J33">
        <v>0</v>
      </c>
      <c r="K33">
        <v>105.4</v>
      </c>
      <c r="L33">
        <v>640</v>
      </c>
      <c r="M33">
        <v>154</v>
      </c>
      <c r="N33">
        <v>0</v>
      </c>
      <c r="O33" t="s">
        <v>30</v>
      </c>
      <c r="P33" t="s">
        <v>31</v>
      </c>
      <c r="Q33">
        <v>0</v>
      </c>
      <c r="S33" t="s">
        <v>32</v>
      </c>
      <c r="U33">
        <v>0</v>
      </c>
      <c r="W33">
        <v>0</v>
      </c>
      <c r="X33">
        <v>0</v>
      </c>
      <c r="Y33" t="s">
        <v>144</v>
      </c>
      <c r="Z33">
        <v>0</v>
      </c>
      <c r="AB33" t="s">
        <v>61</v>
      </c>
    </row>
    <row r="34" spans="1:28" x14ac:dyDescent="0.25">
      <c r="A34" s="2">
        <v>46081</v>
      </c>
      <c r="B34" t="s">
        <v>145</v>
      </c>
      <c r="C34" t="s">
        <v>51</v>
      </c>
      <c r="D34" t="s">
        <v>57</v>
      </c>
      <c r="E34" t="s">
        <v>36</v>
      </c>
      <c r="F34" t="s">
        <v>58</v>
      </c>
      <c r="G34" t="s">
        <v>59</v>
      </c>
      <c r="H34">
        <v>1</v>
      </c>
      <c r="I34">
        <v>86.2</v>
      </c>
      <c r="J34">
        <v>0</v>
      </c>
      <c r="K34">
        <v>86.2</v>
      </c>
      <c r="L34">
        <v>550</v>
      </c>
      <c r="M34">
        <v>154</v>
      </c>
      <c r="N34">
        <v>0</v>
      </c>
      <c r="O34" t="s">
        <v>30</v>
      </c>
      <c r="P34" t="s">
        <v>31</v>
      </c>
      <c r="Q34">
        <v>0</v>
      </c>
      <c r="S34" t="s">
        <v>32</v>
      </c>
      <c r="U34">
        <v>0</v>
      </c>
      <c r="W34">
        <v>0</v>
      </c>
      <c r="X34">
        <v>0</v>
      </c>
      <c r="Y34" t="s">
        <v>146</v>
      </c>
      <c r="Z34">
        <v>0</v>
      </c>
      <c r="AB34" t="s">
        <v>61</v>
      </c>
    </row>
    <row r="35" spans="1:28" x14ac:dyDescent="0.25">
      <c r="A35" s="2">
        <v>46081</v>
      </c>
      <c r="B35" t="s">
        <v>147</v>
      </c>
      <c r="C35" t="s">
        <v>51</v>
      </c>
      <c r="D35" t="s">
        <v>57</v>
      </c>
      <c r="E35" t="s">
        <v>36</v>
      </c>
      <c r="F35" t="s">
        <v>58</v>
      </c>
      <c r="G35" t="s">
        <v>59</v>
      </c>
      <c r="H35">
        <v>1</v>
      </c>
      <c r="I35">
        <v>40.799999999999997</v>
      </c>
      <c r="J35">
        <v>0</v>
      </c>
      <c r="K35">
        <v>40.799999999999997</v>
      </c>
      <c r="L35">
        <v>390</v>
      </c>
      <c r="M35">
        <v>154</v>
      </c>
      <c r="N35">
        <v>0</v>
      </c>
      <c r="O35" t="s">
        <v>30</v>
      </c>
      <c r="P35" t="s">
        <v>31</v>
      </c>
      <c r="Q35">
        <v>0</v>
      </c>
      <c r="S35" t="s">
        <v>32</v>
      </c>
      <c r="U35">
        <v>0</v>
      </c>
      <c r="W35">
        <v>0</v>
      </c>
      <c r="X35">
        <v>0</v>
      </c>
      <c r="Y35" t="s">
        <v>148</v>
      </c>
      <c r="Z35">
        <v>0</v>
      </c>
      <c r="AB35" t="s">
        <v>61</v>
      </c>
    </row>
    <row r="36" spans="1:28" x14ac:dyDescent="0.25">
      <c r="A36" s="2">
        <v>46081</v>
      </c>
      <c r="B36" t="s">
        <v>149</v>
      </c>
      <c r="C36" t="s">
        <v>150</v>
      </c>
      <c r="D36" t="s">
        <v>57</v>
      </c>
      <c r="E36" t="s">
        <v>33</v>
      </c>
      <c r="F36" t="s">
        <v>58</v>
      </c>
      <c r="G36" t="s">
        <v>59</v>
      </c>
      <c r="H36">
        <v>1</v>
      </c>
      <c r="I36">
        <v>237.6</v>
      </c>
      <c r="J36">
        <v>0</v>
      </c>
      <c r="K36">
        <v>237.6</v>
      </c>
      <c r="L36">
        <v>1650</v>
      </c>
      <c r="M36">
        <v>154</v>
      </c>
      <c r="N36">
        <v>0</v>
      </c>
      <c r="O36" t="s">
        <v>30</v>
      </c>
      <c r="P36" t="s">
        <v>31</v>
      </c>
      <c r="Q36">
        <v>0</v>
      </c>
      <c r="S36" t="s">
        <v>32</v>
      </c>
      <c r="U36">
        <v>0</v>
      </c>
      <c r="W36">
        <v>0</v>
      </c>
      <c r="X36">
        <v>0</v>
      </c>
      <c r="Y36" t="s">
        <v>151</v>
      </c>
      <c r="Z36">
        <v>0</v>
      </c>
      <c r="AB36" t="s">
        <v>61</v>
      </c>
    </row>
    <row r="37" spans="1:28" x14ac:dyDescent="0.25">
      <c r="A37" s="2">
        <v>46081</v>
      </c>
      <c r="B37" t="s">
        <v>152</v>
      </c>
      <c r="C37" t="s">
        <v>153</v>
      </c>
      <c r="D37" t="s">
        <v>57</v>
      </c>
      <c r="E37" t="s">
        <v>33</v>
      </c>
      <c r="F37" t="s">
        <v>58</v>
      </c>
      <c r="G37" t="s">
        <v>59</v>
      </c>
      <c r="H37">
        <v>1</v>
      </c>
      <c r="I37">
        <v>188.6</v>
      </c>
      <c r="J37">
        <v>0</v>
      </c>
      <c r="K37">
        <v>188.6</v>
      </c>
      <c r="L37">
        <v>1560</v>
      </c>
      <c r="M37">
        <v>154</v>
      </c>
      <c r="N37">
        <v>0</v>
      </c>
      <c r="O37" t="s">
        <v>30</v>
      </c>
      <c r="P37" t="s">
        <v>31</v>
      </c>
      <c r="Q37">
        <v>0</v>
      </c>
      <c r="S37" t="s">
        <v>32</v>
      </c>
      <c r="U37">
        <v>0</v>
      </c>
      <c r="W37">
        <v>0</v>
      </c>
      <c r="X37">
        <v>0</v>
      </c>
      <c r="Y37" t="s">
        <v>154</v>
      </c>
      <c r="Z37">
        <v>0</v>
      </c>
      <c r="AB37" t="s">
        <v>61</v>
      </c>
    </row>
    <row r="38" spans="1:28" x14ac:dyDescent="0.25">
      <c r="A38" s="2">
        <v>46081</v>
      </c>
      <c r="B38" t="s">
        <v>155</v>
      </c>
      <c r="C38" t="s">
        <v>156</v>
      </c>
      <c r="D38" t="s">
        <v>57</v>
      </c>
      <c r="E38" t="s">
        <v>33</v>
      </c>
      <c r="F38" t="s">
        <v>58</v>
      </c>
      <c r="G38" t="s">
        <v>59</v>
      </c>
      <c r="H38">
        <v>1</v>
      </c>
      <c r="I38">
        <v>219.2</v>
      </c>
      <c r="J38">
        <v>0</v>
      </c>
      <c r="K38">
        <v>219.2</v>
      </c>
      <c r="L38">
        <v>1600</v>
      </c>
      <c r="M38">
        <v>154</v>
      </c>
      <c r="N38">
        <v>0</v>
      </c>
      <c r="O38" t="s">
        <v>30</v>
      </c>
      <c r="P38" t="s">
        <v>31</v>
      </c>
      <c r="Q38">
        <v>0</v>
      </c>
      <c r="S38" t="s">
        <v>32</v>
      </c>
      <c r="U38">
        <v>0</v>
      </c>
      <c r="W38">
        <v>0</v>
      </c>
      <c r="X38">
        <v>0</v>
      </c>
      <c r="Y38" t="s">
        <v>157</v>
      </c>
      <c r="Z38">
        <v>0</v>
      </c>
      <c r="AB38" t="s">
        <v>61</v>
      </c>
    </row>
    <row r="39" spans="1:28" x14ac:dyDescent="0.25">
      <c r="A39" s="2">
        <v>46081</v>
      </c>
      <c r="B39" t="s">
        <v>158</v>
      </c>
      <c r="C39" t="s">
        <v>51</v>
      </c>
      <c r="D39" t="s">
        <v>57</v>
      </c>
      <c r="E39" t="s">
        <v>36</v>
      </c>
      <c r="F39" t="s">
        <v>58</v>
      </c>
      <c r="G39" t="s">
        <v>59</v>
      </c>
      <c r="H39">
        <v>1</v>
      </c>
      <c r="I39">
        <v>136.19999999999999</v>
      </c>
      <c r="J39">
        <v>0</v>
      </c>
      <c r="K39">
        <v>136.19999999999999</v>
      </c>
      <c r="L39">
        <v>620</v>
      </c>
      <c r="M39">
        <v>154</v>
      </c>
      <c r="N39">
        <v>0</v>
      </c>
      <c r="O39" t="s">
        <v>30</v>
      </c>
      <c r="P39" t="s">
        <v>31</v>
      </c>
      <c r="Q39">
        <v>0</v>
      </c>
      <c r="S39" t="s">
        <v>32</v>
      </c>
      <c r="U39">
        <v>0</v>
      </c>
      <c r="W39">
        <v>0</v>
      </c>
      <c r="X39">
        <v>0</v>
      </c>
      <c r="Y39" t="s">
        <v>159</v>
      </c>
      <c r="Z39">
        <v>0</v>
      </c>
      <c r="AB39" t="s">
        <v>61</v>
      </c>
    </row>
    <row r="40" spans="1:28" x14ac:dyDescent="0.25">
      <c r="A40" s="2">
        <v>46081</v>
      </c>
      <c r="B40" t="s">
        <v>160</v>
      </c>
      <c r="C40" t="s">
        <v>161</v>
      </c>
      <c r="D40" t="s">
        <v>57</v>
      </c>
      <c r="E40" t="s">
        <v>36</v>
      </c>
      <c r="F40" t="s">
        <v>58</v>
      </c>
      <c r="G40" t="s">
        <v>59</v>
      </c>
      <c r="H40">
        <v>1</v>
      </c>
      <c r="I40">
        <v>23.2</v>
      </c>
      <c r="J40">
        <v>0</v>
      </c>
      <c r="K40">
        <v>23.2</v>
      </c>
      <c r="L40">
        <v>350</v>
      </c>
      <c r="M40">
        <v>154</v>
      </c>
      <c r="N40">
        <v>0</v>
      </c>
      <c r="O40" t="s">
        <v>30</v>
      </c>
      <c r="P40" t="s">
        <v>31</v>
      </c>
      <c r="Q40">
        <v>0</v>
      </c>
      <c r="S40" t="s">
        <v>32</v>
      </c>
      <c r="U40">
        <v>0</v>
      </c>
      <c r="W40">
        <v>0</v>
      </c>
      <c r="X40">
        <v>0</v>
      </c>
      <c r="Y40" t="s">
        <v>162</v>
      </c>
      <c r="Z40">
        <v>0</v>
      </c>
      <c r="AB40" t="s">
        <v>61</v>
      </c>
    </row>
    <row r="41" spans="1:28" x14ac:dyDescent="0.25">
      <c r="A41" s="2">
        <v>46081</v>
      </c>
      <c r="B41" t="s">
        <v>163</v>
      </c>
      <c r="C41" t="s">
        <v>161</v>
      </c>
      <c r="D41" t="s">
        <v>57</v>
      </c>
      <c r="E41" t="s">
        <v>36</v>
      </c>
      <c r="F41" t="s">
        <v>58</v>
      </c>
      <c r="G41" t="s">
        <v>59</v>
      </c>
      <c r="H41">
        <v>1</v>
      </c>
      <c r="I41">
        <v>41</v>
      </c>
      <c r="J41">
        <v>0</v>
      </c>
      <c r="K41">
        <v>41</v>
      </c>
      <c r="L41">
        <v>380</v>
      </c>
      <c r="M41">
        <v>154</v>
      </c>
      <c r="N41">
        <v>0</v>
      </c>
      <c r="O41" t="s">
        <v>30</v>
      </c>
      <c r="P41" t="s">
        <v>31</v>
      </c>
      <c r="Q41">
        <v>0</v>
      </c>
      <c r="S41" t="s">
        <v>32</v>
      </c>
      <c r="U41">
        <v>0</v>
      </c>
      <c r="W41">
        <v>0</v>
      </c>
      <c r="X41">
        <v>0</v>
      </c>
      <c r="Y41" t="s">
        <v>164</v>
      </c>
      <c r="Z41">
        <v>0</v>
      </c>
      <c r="AB41" t="s">
        <v>61</v>
      </c>
    </row>
    <row r="42" spans="1:28" x14ac:dyDescent="0.25">
      <c r="A42" s="2">
        <v>46081</v>
      </c>
      <c r="B42" t="s">
        <v>165</v>
      </c>
      <c r="C42" t="s">
        <v>161</v>
      </c>
      <c r="D42" t="s">
        <v>57</v>
      </c>
      <c r="E42" t="s">
        <v>36</v>
      </c>
      <c r="F42" t="s">
        <v>58</v>
      </c>
      <c r="G42" t="s">
        <v>59</v>
      </c>
      <c r="H42">
        <v>1</v>
      </c>
      <c r="I42">
        <v>40.799999999999997</v>
      </c>
      <c r="J42">
        <v>0</v>
      </c>
      <c r="K42">
        <v>40.799999999999997</v>
      </c>
      <c r="L42">
        <v>380</v>
      </c>
      <c r="M42">
        <v>154</v>
      </c>
      <c r="N42">
        <v>0</v>
      </c>
      <c r="O42" t="s">
        <v>30</v>
      </c>
      <c r="P42" t="s">
        <v>31</v>
      </c>
      <c r="Q42">
        <v>0</v>
      </c>
      <c r="S42" t="s">
        <v>32</v>
      </c>
      <c r="U42">
        <v>0</v>
      </c>
      <c r="W42">
        <v>0</v>
      </c>
      <c r="X42">
        <v>0</v>
      </c>
      <c r="Y42" t="s">
        <v>166</v>
      </c>
      <c r="Z42">
        <v>0</v>
      </c>
      <c r="AB42" t="s">
        <v>61</v>
      </c>
    </row>
    <row r="43" spans="1:28" x14ac:dyDescent="0.25">
      <c r="A43" s="2">
        <v>46081</v>
      </c>
      <c r="B43" t="s">
        <v>167</v>
      </c>
      <c r="C43" t="s">
        <v>136</v>
      </c>
      <c r="D43" t="s">
        <v>57</v>
      </c>
      <c r="E43" t="s">
        <v>36</v>
      </c>
      <c r="F43" t="s">
        <v>58</v>
      </c>
      <c r="G43" t="s">
        <v>59</v>
      </c>
      <c r="H43">
        <v>1</v>
      </c>
      <c r="I43">
        <v>58.2</v>
      </c>
      <c r="J43">
        <v>0</v>
      </c>
      <c r="K43">
        <v>58.2</v>
      </c>
      <c r="L43">
        <v>490</v>
      </c>
      <c r="M43">
        <v>154</v>
      </c>
      <c r="N43">
        <v>0</v>
      </c>
      <c r="O43" t="s">
        <v>30</v>
      </c>
      <c r="P43" t="s">
        <v>31</v>
      </c>
      <c r="Q43">
        <v>0</v>
      </c>
      <c r="S43" t="s">
        <v>32</v>
      </c>
      <c r="U43">
        <v>0</v>
      </c>
      <c r="W43">
        <v>0</v>
      </c>
      <c r="X43">
        <v>0</v>
      </c>
      <c r="Y43" t="s">
        <v>168</v>
      </c>
      <c r="Z43">
        <v>0</v>
      </c>
      <c r="AB43" t="s">
        <v>61</v>
      </c>
    </row>
    <row r="44" spans="1:28" x14ac:dyDescent="0.25">
      <c r="A44" s="2">
        <v>46081</v>
      </c>
      <c r="B44" t="s">
        <v>169</v>
      </c>
      <c r="C44" t="s">
        <v>51</v>
      </c>
      <c r="D44" t="s">
        <v>57</v>
      </c>
      <c r="E44" t="s">
        <v>36</v>
      </c>
      <c r="F44" t="s">
        <v>58</v>
      </c>
      <c r="G44" t="s">
        <v>59</v>
      </c>
      <c r="H44">
        <v>1</v>
      </c>
      <c r="I44">
        <v>30.8</v>
      </c>
      <c r="J44">
        <v>0</v>
      </c>
      <c r="K44">
        <v>30.8</v>
      </c>
      <c r="L44">
        <v>390</v>
      </c>
      <c r="M44">
        <v>154</v>
      </c>
      <c r="N44">
        <v>0</v>
      </c>
      <c r="O44" t="s">
        <v>30</v>
      </c>
      <c r="P44" t="s">
        <v>31</v>
      </c>
      <c r="Q44">
        <v>0</v>
      </c>
      <c r="S44" t="s">
        <v>32</v>
      </c>
      <c r="U44">
        <v>0</v>
      </c>
      <c r="W44">
        <v>0</v>
      </c>
      <c r="X44">
        <v>0</v>
      </c>
      <c r="Y44" t="s">
        <v>170</v>
      </c>
      <c r="Z44">
        <v>0</v>
      </c>
      <c r="AB44" t="s">
        <v>61</v>
      </c>
    </row>
    <row r="45" spans="1:28" x14ac:dyDescent="0.25">
      <c r="A45" s="2">
        <v>46081</v>
      </c>
      <c r="B45" t="s">
        <v>171</v>
      </c>
      <c r="C45" t="s">
        <v>51</v>
      </c>
      <c r="D45" t="s">
        <v>57</v>
      </c>
      <c r="E45" t="s">
        <v>36</v>
      </c>
      <c r="F45" t="s">
        <v>58</v>
      </c>
      <c r="G45" t="s">
        <v>59</v>
      </c>
      <c r="H45">
        <v>1</v>
      </c>
      <c r="I45">
        <v>35.799999999999997</v>
      </c>
      <c r="J45">
        <v>0</v>
      </c>
      <c r="K45">
        <v>35.799999999999997</v>
      </c>
      <c r="L45">
        <v>390</v>
      </c>
      <c r="M45">
        <v>154</v>
      </c>
      <c r="N45">
        <v>0</v>
      </c>
      <c r="O45" t="s">
        <v>30</v>
      </c>
      <c r="P45" t="s">
        <v>31</v>
      </c>
      <c r="Q45">
        <v>0</v>
      </c>
      <c r="S45" t="s">
        <v>32</v>
      </c>
      <c r="U45">
        <v>0</v>
      </c>
      <c r="W45">
        <v>0</v>
      </c>
      <c r="X45">
        <v>0</v>
      </c>
      <c r="Y45" t="s">
        <v>172</v>
      </c>
      <c r="Z45">
        <v>0</v>
      </c>
      <c r="AB45" t="s">
        <v>61</v>
      </c>
    </row>
    <row r="46" spans="1:28" x14ac:dyDescent="0.25">
      <c r="A46" s="2">
        <v>46081</v>
      </c>
      <c r="B46" t="s">
        <v>173</v>
      </c>
      <c r="C46" t="s">
        <v>51</v>
      </c>
      <c r="D46" t="s">
        <v>57</v>
      </c>
      <c r="E46" t="s">
        <v>36</v>
      </c>
      <c r="F46" t="s">
        <v>58</v>
      </c>
      <c r="G46" t="s">
        <v>59</v>
      </c>
      <c r="H46">
        <v>1</v>
      </c>
      <c r="I46">
        <v>35.799999999999997</v>
      </c>
      <c r="J46">
        <v>0</v>
      </c>
      <c r="K46">
        <v>35.799999999999997</v>
      </c>
      <c r="L46">
        <v>390</v>
      </c>
      <c r="M46">
        <v>154</v>
      </c>
      <c r="N46">
        <v>0</v>
      </c>
      <c r="O46" t="s">
        <v>30</v>
      </c>
      <c r="P46" t="s">
        <v>31</v>
      </c>
      <c r="Q46">
        <v>0</v>
      </c>
      <c r="S46" t="s">
        <v>32</v>
      </c>
      <c r="U46">
        <v>0</v>
      </c>
      <c r="W46">
        <v>0</v>
      </c>
      <c r="X46">
        <v>0</v>
      </c>
      <c r="Y46" t="s">
        <v>174</v>
      </c>
      <c r="Z46">
        <v>0</v>
      </c>
      <c r="AB46" t="s">
        <v>61</v>
      </c>
    </row>
    <row r="47" spans="1:28" x14ac:dyDescent="0.25">
      <c r="A47" s="2">
        <v>46081</v>
      </c>
      <c r="B47" t="s">
        <v>175</v>
      </c>
      <c r="C47" t="s">
        <v>51</v>
      </c>
      <c r="D47" t="s">
        <v>57</v>
      </c>
      <c r="E47" t="s">
        <v>36</v>
      </c>
      <c r="F47" t="s">
        <v>58</v>
      </c>
      <c r="G47" t="s">
        <v>59</v>
      </c>
      <c r="H47">
        <v>1</v>
      </c>
      <c r="I47">
        <v>33.4</v>
      </c>
      <c r="J47">
        <v>0</v>
      </c>
      <c r="K47">
        <v>33.4</v>
      </c>
      <c r="L47">
        <v>390</v>
      </c>
      <c r="M47">
        <v>154</v>
      </c>
      <c r="N47">
        <v>0</v>
      </c>
      <c r="O47" t="s">
        <v>30</v>
      </c>
      <c r="P47" t="s">
        <v>31</v>
      </c>
      <c r="Q47">
        <v>0</v>
      </c>
      <c r="S47" t="s">
        <v>32</v>
      </c>
      <c r="U47">
        <v>0</v>
      </c>
      <c r="W47">
        <v>0</v>
      </c>
      <c r="X47">
        <v>0</v>
      </c>
      <c r="Y47" t="s">
        <v>176</v>
      </c>
      <c r="Z47">
        <v>0</v>
      </c>
      <c r="AB47" t="s">
        <v>61</v>
      </c>
    </row>
    <row r="48" spans="1:28" x14ac:dyDescent="0.25">
      <c r="A48" s="2">
        <v>46081</v>
      </c>
      <c r="B48" t="s">
        <v>177</v>
      </c>
      <c r="C48" t="s">
        <v>51</v>
      </c>
      <c r="D48" t="s">
        <v>57</v>
      </c>
      <c r="E48" t="s">
        <v>36</v>
      </c>
      <c r="F48" t="s">
        <v>58</v>
      </c>
      <c r="G48" t="s">
        <v>59</v>
      </c>
      <c r="H48">
        <v>1</v>
      </c>
      <c r="I48">
        <v>31.6</v>
      </c>
      <c r="J48">
        <v>0</v>
      </c>
      <c r="K48">
        <v>31.6</v>
      </c>
      <c r="L48">
        <v>390</v>
      </c>
      <c r="M48">
        <v>154</v>
      </c>
      <c r="N48">
        <v>0</v>
      </c>
      <c r="O48" t="s">
        <v>30</v>
      </c>
      <c r="P48" t="s">
        <v>31</v>
      </c>
      <c r="Q48">
        <v>0</v>
      </c>
      <c r="S48" t="s">
        <v>32</v>
      </c>
      <c r="U48">
        <v>0</v>
      </c>
      <c r="W48">
        <v>0</v>
      </c>
      <c r="X48">
        <v>0</v>
      </c>
      <c r="Y48" t="s">
        <v>178</v>
      </c>
      <c r="Z48">
        <v>0</v>
      </c>
      <c r="AB48" t="s">
        <v>61</v>
      </c>
    </row>
    <row r="49" spans="1:28" x14ac:dyDescent="0.25">
      <c r="A49" s="2">
        <v>46081</v>
      </c>
      <c r="B49" t="s">
        <v>179</v>
      </c>
      <c r="C49" t="s">
        <v>51</v>
      </c>
      <c r="D49" t="s">
        <v>57</v>
      </c>
      <c r="E49" t="s">
        <v>36</v>
      </c>
      <c r="F49" t="s">
        <v>58</v>
      </c>
      <c r="G49" t="s">
        <v>59</v>
      </c>
      <c r="H49">
        <v>1</v>
      </c>
      <c r="I49">
        <v>53.6</v>
      </c>
      <c r="J49">
        <v>0</v>
      </c>
      <c r="K49">
        <v>53.6</v>
      </c>
      <c r="L49">
        <v>440</v>
      </c>
      <c r="M49">
        <v>154</v>
      </c>
      <c r="N49">
        <v>0</v>
      </c>
      <c r="O49" t="s">
        <v>30</v>
      </c>
      <c r="P49" t="s">
        <v>31</v>
      </c>
      <c r="Q49">
        <v>0</v>
      </c>
      <c r="S49" t="s">
        <v>32</v>
      </c>
      <c r="U49">
        <v>0</v>
      </c>
      <c r="W49">
        <v>0</v>
      </c>
      <c r="X49">
        <v>0</v>
      </c>
      <c r="Y49" t="s">
        <v>180</v>
      </c>
      <c r="Z49">
        <v>0</v>
      </c>
      <c r="AB49" t="s">
        <v>61</v>
      </c>
    </row>
    <row r="50" spans="1:28" x14ac:dyDescent="0.25">
      <c r="A50" s="2">
        <v>46081</v>
      </c>
      <c r="B50" t="s">
        <v>181</v>
      </c>
      <c r="C50" t="s">
        <v>51</v>
      </c>
      <c r="D50" t="s">
        <v>57</v>
      </c>
      <c r="E50" t="s">
        <v>36</v>
      </c>
      <c r="F50" t="s">
        <v>58</v>
      </c>
      <c r="G50" t="s">
        <v>59</v>
      </c>
      <c r="H50">
        <v>1</v>
      </c>
      <c r="I50">
        <v>56.2</v>
      </c>
      <c r="J50">
        <v>0</v>
      </c>
      <c r="K50">
        <v>56.2</v>
      </c>
      <c r="L50">
        <v>440</v>
      </c>
      <c r="M50">
        <v>154</v>
      </c>
      <c r="N50">
        <v>0</v>
      </c>
      <c r="O50" t="s">
        <v>30</v>
      </c>
      <c r="P50" t="s">
        <v>31</v>
      </c>
      <c r="Q50">
        <v>0</v>
      </c>
      <c r="S50" t="s">
        <v>32</v>
      </c>
      <c r="U50">
        <v>0</v>
      </c>
      <c r="W50">
        <v>0</v>
      </c>
      <c r="X50">
        <v>0</v>
      </c>
      <c r="Y50" t="s">
        <v>182</v>
      </c>
      <c r="Z50">
        <v>0</v>
      </c>
      <c r="AB50" t="s">
        <v>61</v>
      </c>
    </row>
    <row r="51" spans="1:28" x14ac:dyDescent="0.25">
      <c r="A51" s="2">
        <v>46081</v>
      </c>
      <c r="B51" t="s">
        <v>183</v>
      </c>
      <c r="C51" t="s">
        <v>184</v>
      </c>
      <c r="D51" t="s">
        <v>57</v>
      </c>
      <c r="E51" t="s">
        <v>36</v>
      </c>
      <c r="F51" t="s">
        <v>58</v>
      </c>
      <c r="G51" t="s">
        <v>64</v>
      </c>
      <c r="H51">
        <v>1</v>
      </c>
      <c r="I51">
        <v>144.19999999999999</v>
      </c>
      <c r="J51">
        <v>0</v>
      </c>
      <c r="K51">
        <v>144.19999999999999</v>
      </c>
      <c r="L51">
        <v>970</v>
      </c>
      <c r="M51">
        <v>134</v>
      </c>
      <c r="N51">
        <v>0</v>
      </c>
      <c r="O51" t="s">
        <v>30</v>
      </c>
      <c r="P51" t="s">
        <v>31</v>
      </c>
      <c r="Q51">
        <v>0</v>
      </c>
      <c r="S51" t="s">
        <v>32</v>
      </c>
      <c r="U51">
        <v>0</v>
      </c>
      <c r="W51">
        <v>0</v>
      </c>
      <c r="X51">
        <v>0</v>
      </c>
      <c r="Y51" t="s">
        <v>185</v>
      </c>
      <c r="Z51">
        <v>0</v>
      </c>
      <c r="AB51" t="s">
        <v>61</v>
      </c>
    </row>
    <row r="52" spans="1:28" x14ac:dyDescent="0.25">
      <c r="A52" s="2">
        <v>46081</v>
      </c>
      <c r="B52" t="s">
        <v>186</v>
      </c>
      <c r="C52" t="s">
        <v>51</v>
      </c>
      <c r="D52" t="s">
        <v>57</v>
      </c>
      <c r="E52" t="s">
        <v>36</v>
      </c>
      <c r="F52" t="s">
        <v>58</v>
      </c>
      <c r="G52" t="s">
        <v>59</v>
      </c>
      <c r="H52">
        <v>1</v>
      </c>
      <c r="I52">
        <v>33.6</v>
      </c>
      <c r="J52">
        <v>0</v>
      </c>
      <c r="K52">
        <v>33.6</v>
      </c>
      <c r="L52">
        <v>390</v>
      </c>
      <c r="M52">
        <v>154</v>
      </c>
      <c r="N52">
        <v>0</v>
      </c>
      <c r="O52" t="s">
        <v>30</v>
      </c>
      <c r="P52" t="s">
        <v>31</v>
      </c>
      <c r="Q52">
        <v>0</v>
      </c>
      <c r="S52" t="s">
        <v>32</v>
      </c>
      <c r="U52">
        <v>0</v>
      </c>
      <c r="W52">
        <v>0</v>
      </c>
      <c r="X52">
        <v>0</v>
      </c>
      <c r="Y52" t="s">
        <v>187</v>
      </c>
      <c r="Z52">
        <v>0</v>
      </c>
      <c r="AB52" t="s">
        <v>61</v>
      </c>
    </row>
    <row r="53" spans="1:28" x14ac:dyDescent="0.25">
      <c r="A53" s="2">
        <v>46081</v>
      </c>
      <c r="B53" t="s">
        <v>188</v>
      </c>
      <c r="C53" t="s">
        <v>189</v>
      </c>
      <c r="D53" t="s">
        <v>57</v>
      </c>
      <c r="E53" t="s">
        <v>36</v>
      </c>
      <c r="F53" t="s">
        <v>58</v>
      </c>
      <c r="G53" t="s">
        <v>90</v>
      </c>
      <c r="H53">
        <v>1</v>
      </c>
      <c r="I53">
        <v>182.4</v>
      </c>
      <c r="J53">
        <v>0</v>
      </c>
      <c r="K53">
        <v>182.4</v>
      </c>
      <c r="L53">
        <v>940</v>
      </c>
      <c r="M53">
        <v>163</v>
      </c>
      <c r="N53">
        <v>0</v>
      </c>
      <c r="O53" t="s">
        <v>30</v>
      </c>
      <c r="P53" t="s">
        <v>31</v>
      </c>
      <c r="Q53">
        <v>0</v>
      </c>
      <c r="S53" t="s">
        <v>32</v>
      </c>
      <c r="U53">
        <v>0</v>
      </c>
      <c r="W53">
        <v>0</v>
      </c>
      <c r="X53">
        <v>0</v>
      </c>
      <c r="Y53" t="s">
        <v>190</v>
      </c>
      <c r="Z53">
        <v>0</v>
      </c>
      <c r="AB53" t="s">
        <v>61</v>
      </c>
    </row>
    <row r="54" spans="1:28" x14ac:dyDescent="0.25">
      <c r="A54" s="2">
        <v>46081</v>
      </c>
      <c r="B54" t="s">
        <v>191</v>
      </c>
      <c r="C54" t="s">
        <v>189</v>
      </c>
      <c r="D54" t="s">
        <v>57</v>
      </c>
      <c r="E54" t="s">
        <v>36</v>
      </c>
      <c r="F54" t="s">
        <v>58</v>
      </c>
      <c r="G54" t="s">
        <v>90</v>
      </c>
      <c r="H54">
        <v>1</v>
      </c>
      <c r="I54">
        <v>180.8</v>
      </c>
      <c r="J54">
        <v>0</v>
      </c>
      <c r="K54">
        <v>180.8</v>
      </c>
      <c r="L54">
        <v>940</v>
      </c>
      <c r="M54">
        <v>163</v>
      </c>
      <c r="N54">
        <v>0</v>
      </c>
      <c r="O54" t="s">
        <v>30</v>
      </c>
      <c r="P54" t="s">
        <v>31</v>
      </c>
      <c r="Q54">
        <v>0</v>
      </c>
      <c r="S54" t="s">
        <v>32</v>
      </c>
      <c r="U54">
        <v>0</v>
      </c>
      <c r="W54">
        <v>0</v>
      </c>
      <c r="X54">
        <v>0</v>
      </c>
      <c r="Y54" t="s">
        <v>192</v>
      </c>
      <c r="Z54">
        <v>0</v>
      </c>
      <c r="AB54" t="s">
        <v>61</v>
      </c>
    </row>
    <row r="55" spans="1:28" x14ac:dyDescent="0.25">
      <c r="A55" s="2">
        <v>46081</v>
      </c>
      <c r="B55" t="s">
        <v>193</v>
      </c>
      <c r="C55" t="s">
        <v>156</v>
      </c>
      <c r="D55" t="s">
        <v>57</v>
      </c>
      <c r="E55" t="s">
        <v>194</v>
      </c>
      <c r="F55" t="s">
        <v>58</v>
      </c>
      <c r="G55" t="s">
        <v>59</v>
      </c>
      <c r="H55">
        <v>1</v>
      </c>
      <c r="I55">
        <v>262</v>
      </c>
      <c r="J55">
        <v>0</v>
      </c>
      <c r="K55">
        <v>262</v>
      </c>
      <c r="L55">
        <v>1670</v>
      </c>
      <c r="M55">
        <v>154</v>
      </c>
      <c r="N55">
        <v>0</v>
      </c>
      <c r="O55" t="s">
        <v>30</v>
      </c>
      <c r="P55" t="s">
        <v>31</v>
      </c>
      <c r="Q55">
        <v>0</v>
      </c>
      <c r="S55" t="s">
        <v>32</v>
      </c>
      <c r="U55">
        <v>0</v>
      </c>
      <c r="W55">
        <v>0</v>
      </c>
      <c r="X55">
        <v>0</v>
      </c>
      <c r="Y55" t="s">
        <v>195</v>
      </c>
      <c r="Z55">
        <v>0</v>
      </c>
      <c r="AB55" t="s">
        <v>61</v>
      </c>
    </row>
    <row r="56" spans="1:28" x14ac:dyDescent="0.25">
      <c r="A56" s="2">
        <v>46081</v>
      </c>
      <c r="B56" t="s">
        <v>196</v>
      </c>
      <c r="C56" t="s">
        <v>51</v>
      </c>
      <c r="D56" t="s">
        <v>57</v>
      </c>
      <c r="E56" t="s">
        <v>194</v>
      </c>
      <c r="F56" t="s">
        <v>58</v>
      </c>
      <c r="G56" t="s">
        <v>59</v>
      </c>
      <c r="H56">
        <v>1</v>
      </c>
      <c r="I56">
        <v>57.6</v>
      </c>
      <c r="J56">
        <v>0</v>
      </c>
      <c r="K56">
        <v>57.6</v>
      </c>
      <c r="L56">
        <v>500</v>
      </c>
      <c r="M56">
        <v>154</v>
      </c>
      <c r="N56">
        <v>0</v>
      </c>
      <c r="O56" t="s">
        <v>30</v>
      </c>
      <c r="P56" t="s">
        <v>31</v>
      </c>
      <c r="Q56">
        <v>0</v>
      </c>
      <c r="S56" t="s">
        <v>32</v>
      </c>
      <c r="U56">
        <v>0</v>
      </c>
      <c r="W56">
        <v>0</v>
      </c>
      <c r="X56">
        <v>0</v>
      </c>
      <c r="Y56" t="s">
        <v>197</v>
      </c>
      <c r="Z56">
        <v>0</v>
      </c>
      <c r="AB56" t="s">
        <v>61</v>
      </c>
    </row>
    <row r="57" spans="1:28" x14ac:dyDescent="0.25">
      <c r="A57" s="2">
        <v>46081</v>
      </c>
      <c r="B57" t="s">
        <v>198</v>
      </c>
      <c r="C57" t="s">
        <v>199</v>
      </c>
      <c r="D57" t="s">
        <v>57</v>
      </c>
      <c r="E57" t="s">
        <v>194</v>
      </c>
      <c r="F57" t="s">
        <v>58</v>
      </c>
      <c r="G57" t="s">
        <v>64</v>
      </c>
      <c r="H57">
        <v>1</v>
      </c>
      <c r="I57">
        <v>82.4</v>
      </c>
      <c r="J57">
        <v>25</v>
      </c>
      <c r="K57">
        <v>57.4</v>
      </c>
      <c r="L57">
        <v>610</v>
      </c>
      <c r="M57">
        <v>134</v>
      </c>
      <c r="N57">
        <v>0</v>
      </c>
      <c r="O57" t="s">
        <v>30</v>
      </c>
      <c r="P57" t="s">
        <v>31</v>
      </c>
      <c r="Q57">
        <v>0</v>
      </c>
      <c r="S57" t="s">
        <v>32</v>
      </c>
      <c r="U57">
        <v>0</v>
      </c>
      <c r="W57">
        <v>0</v>
      </c>
      <c r="X57">
        <v>0</v>
      </c>
      <c r="Y57" t="s">
        <v>200</v>
      </c>
      <c r="Z57">
        <v>0</v>
      </c>
      <c r="AB57" t="s">
        <v>61</v>
      </c>
    </row>
    <row r="58" spans="1:28" x14ac:dyDescent="0.25">
      <c r="A58" s="2">
        <v>46081</v>
      </c>
      <c r="B58" t="s">
        <v>201</v>
      </c>
      <c r="C58" t="s">
        <v>202</v>
      </c>
      <c r="D58" t="s">
        <v>57</v>
      </c>
      <c r="E58" t="s">
        <v>194</v>
      </c>
      <c r="F58" t="s">
        <v>58</v>
      </c>
      <c r="G58" t="s">
        <v>64</v>
      </c>
      <c r="H58">
        <v>1</v>
      </c>
      <c r="I58">
        <v>84.6</v>
      </c>
      <c r="J58">
        <v>26</v>
      </c>
      <c r="K58">
        <v>58.6</v>
      </c>
      <c r="L58">
        <v>610</v>
      </c>
      <c r="M58">
        <v>134</v>
      </c>
      <c r="N58">
        <v>0</v>
      </c>
      <c r="O58" t="s">
        <v>30</v>
      </c>
      <c r="P58" t="s">
        <v>31</v>
      </c>
      <c r="Q58">
        <v>0</v>
      </c>
      <c r="S58" t="s">
        <v>32</v>
      </c>
      <c r="U58">
        <v>0</v>
      </c>
      <c r="W58">
        <v>0</v>
      </c>
      <c r="X58">
        <v>0</v>
      </c>
      <c r="Y58" t="s">
        <v>203</v>
      </c>
      <c r="Z58">
        <v>0</v>
      </c>
      <c r="AB58" t="s">
        <v>61</v>
      </c>
    </row>
    <row r="59" spans="1:28" x14ac:dyDescent="0.25">
      <c r="A59" s="2">
        <v>46081</v>
      </c>
      <c r="B59" t="s">
        <v>204</v>
      </c>
      <c r="C59" t="s">
        <v>202</v>
      </c>
      <c r="D59" t="s">
        <v>57</v>
      </c>
      <c r="E59" t="s">
        <v>194</v>
      </c>
      <c r="F59" t="s">
        <v>58</v>
      </c>
      <c r="G59" t="s">
        <v>64</v>
      </c>
      <c r="H59">
        <v>1</v>
      </c>
      <c r="I59">
        <v>78.2</v>
      </c>
      <c r="J59">
        <v>26</v>
      </c>
      <c r="K59">
        <v>52.2</v>
      </c>
      <c r="L59">
        <v>610</v>
      </c>
      <c r="M59">
        <v>134</v>
      </c>
      <c r="N59">
        <v>0</v>
      </c>
      <c r="O59" t="s">
        <v>30</v>
      </c>
      <c r="P59" t="s">
        <v>31</v>
      </c>
      <c r="Q59">
        <v>0</v>
      </c>
      <c r="S59" t="s">
        <v>32</v>
      </c>
      <c r="U59">
        <v>0</v>
      </c>
      <c r="W59">
        <v>0</v>
      </c>
      <c r="X59">
        <v>0</v>
      </c>
      <c r="Y59" t="s">
        <v>205</v>
      </c>
      <c r="Z59">
        <v>0</v>
      </c>
      <c r="AB59" t="s">
        <v>61</v>
      </c>
    </row>
    <row r="60" spans="1:28" x14ac:dyDescent="0.25">
      <c r="A60" s="2">
        <v>46081</v>
      </c>
      <c r="B60" t="s">
        <v>206</v>
      </c>
      <c r="C60" t="s">
        <v>207</v>
      </c>
      <c r="D60" t="s">
        <v>57</v>
      </c>
      <c r="E60" t="s">
        <v>194</v>
      </c>
      <c r="F60" t="s">
        <v>58</v>
      </c>
      <c r="G60" t="s">
        <v>64</v>
      </c>
      <c r="H60">
        <v>1</v>
      </c>
      <c r="I60">
        <v>54.8</v>
      </c>
      <c r="J60">
        <v>0</v>
      </c>
      <c r="K60">
        <v>54.8</v>
      </c>
      <c r="L60">
        <v>540</v>
      </c>
      <c r="M60">
        <v>134</v>
      </c>
      <c r="N60">
        <v>0</v>
      </c>
      <c r="O60" t="s">
        <v>30</v>
      </c>
      <c r="P60" t="s">
        <v>31</v>
      </c>
      <c r="Q60">
        <v>0</v>
      </c>
      <c r="S60" t="s">
        <v>32</v>
      </c>
      <c r="U60">
        <v>0</v>
      </c>
      <c r="W60">
        <v>0</v>
      </c>
      <c r="X60">
        <v>0</v>
      </c>
      <c r="Y60" t="s">
        <v>208</v>
      </c>
      <c r="Z60">
        <v>0</v>
      </c>
      <c r="AB60" t="s">
        <v>61</v>
      </c>
    </row>
    <row r="61" spans="1:28" x14ac:dyDescent="0.25">
      <c r="A61" s="2">
        <v>46081</v>
      </c>
      <c r="B61" t="s">
        <v>209</v>
      </c>
      <c r="C61" t="s">
        <v>210</v>
      </c>
      <c r="D61" t="s">
        <v>57</v>
      </c>
      <c r="E61" t="s">
        <v>194</v>
      </c>
      <c r="F61" t="s">
        <v>58</v>
      </c>
      <c r="G61" t="s">
        <v>64</v>
      </c>
      <c r="H61">
        <v>1</v>
      </c>
      <c r="I61">
        <v>52.6</v>
      </c>
      <c r="J61">
        <v>4</v>
      </c>
      <c r="K61">
        <v>48.6</v>
      </c>
      <c r="L61">
        <v>540</v>
      </c>
      <c r="M61">
        <v>134</v>
      </c>
      <c r="N61">
        <v>0</v>
      </c>
      <c r="O61" t="s">
        <v>30</v>
      </c>
      <c r="P61" t="s">
        <v>31</v>
      </c>
      <c r="Q61">
        <v>0</v>
      </c>
      <c r="S61" t="s">
        <v>32</v>
      </c>
      <c r="U61">
        <v>0</v>
      </c>
      <c r="W61">
        <v>0</v>
      </c>
      <c r="X61">
        <v>0</v>
      </c>
      <c r="Y61" t="s">
        <v>211</v>
      </c>
      <c r="Z61">
        <v>0</v>
      </c>
      <c r="AB61" t="s">
        <v>61</v>
      </c>
    </row>
    <row r="62" spans="1:28" x14ac:dyDescent="0.25">
      <c r="A62" s="2">
        <v>46081</v>
      </c>
      <c r="B62" t="s">
        <v>212</v>
      </c>
      <c r="C62" t="s">
        <v>213</v>
      </c>
      <c r="D62" t="s">
        <v>57</v>
      </c>
      <c r="E62" t="s">
        <v>194</v>
      </c>
      <c r="F62" t="s">
        <v>58</v>
      </c>
      <c r="G62" t="s">
        <v>64</v>
      </c>
      <c r="H62">
        <v>1</v>
      </c>
      <c r="I62">
        <v>60.4</v>
      </c>
      <c r="J62">
        <v>7</v>
      </c>
      <c r="K62">
        <v>53.4</v>
      </c>
      <c r="L62">
        <v>540</v>
      </c>
      <c r="M62">
        <v>134</v>
      </c>
      <c r="N62">
        <v>0</v>
      </c>
      <c r="O62" t="s">
        <v>30</v>
      </c>
      <c r="P62" t="s">
        <v>31</v>
      </c>
      <c r="Q62">
        <v>0</v>
      </c>
      <c r="S62" t="s">
        <v>32</v>
      </c>
      <c r="U62">
        <v>0</v>
      </c>
      <c r="W62">
        <v>0</v>
      </c>
      <c r="X62">
        <v>0</v>
      </c>
      <c r="Y62" t="s">
        <v>214</v>
      </c>
      <c r="Z62">
        <v>0</v>
      </c>
      <c r="AB62" t="s">
        <v>61</v>
      </c>
    </row>
    <row r="63" spans="1:28" x14ac:dyDescent="0.25">
      <c r="A63" s="2">
        <v>46081</v>
      </c>
      <c r="B63" t="s">
        <v>215</v>
      </c>
      <c r="C63" t="s">
        <v>216</v>
      </c>
      <c r="D63" t="s">
        <v>57</v>
      </c>
      <c r="E63" t="s">
        <v>194</v>
      </c>
      <c r="F63" t="s">
        <v>58</v>
      </c>
      <c r="G63" t="s">
        <v>64</v>
      </c>
      <c r="H63">
        <v>1</v>
      </c>
      <c r="I63">
        <v>278.60000000000002</v>
      </c>
      <c r="J63">
        <v>66</v>
      </c>
      <c r="K63">
        <v>212.6</v>
      </c>
      <c r="L63">
        <v>1450</v>
      </c>
      <c r="M63">
        <v>134</v>
      </c>
      <c r="N63">
        <v>0</v>
      </c>
      <c r="O63" t="s">
        <v>30</v>
      </c>
      <c r="P63" t="s">
        <v>31</v>
      </c>
      <c r="Q63">
        <v>0</v>
      </c>
      <c r="S63" t="s">
        <v>32</v>
      </c>
      <c r="U63">
        <v>0</v>
      </c>
      <c r="W63">
        <v>0</v>
      </c>
      <c r="X63">
        <v>0</v>
      </c>
      <c r="Y63" t="s">
        <v>217</v>
      </c>
      <c r="Z63">
        <v>0</v>
      </c>
      <c r="AB63" t="s">
        <v>61</v>
      </c>
    </row>
    <row r="64" spans="1:28" x14ac:dyDescent="0.25">
      <c r="A64" s="2">
        <v>46081</v>
      </c>
      <c r="B64" t="s">
        <v>218</v>
      </c>
      <c r="C64" t="s">
        <v>219</v>
      </c>
      <c r="D64" t="s">
        <v>57</v>
      </c>
      <c r="E64" t="s">
        <v>194</v>
      </c>
      <c r="F64" t="s">
        <v>58</v>
      </c>
      <c r="G64" t="s">
        <v>59</v>
      </c>
      <c r="H64">
        <v>1</v>
      </c>
      <c r="I64">
        <v>62.8</v>
      </c>
      <c r="J64">
        <v>0</v>
      </c>
      <c r="K64">
        <v>62.8</v>
      </c>
      <c r="L64">
        <v>620</v>
      </c>
      <c r="M64">
        <v>154</v>
      </c>
      <c r="N64">
        <v>0</v>
      </c>
      <c r="O64" t="s">
        <v>30</v>
      </c>
      <c r="P64" t="s">
        <v>31</v>
      </c>
      <c r="Q64">
        <v>0</v>
      </c>
      <c r="S64" t="s">
        <v>32</v>
      </c>
      <c r="U64">
        <v>0</v>
      </c>
      <c r="W64">
        <v>0</v>
      </c>
      <c r="X64">
        <v>0</v>
      </c>
      <c r="Y64" t="s">
        <v>220</v>
      </c>
      <c r="Z64">
        <v>0</v>
      </c>
      <c r="AB64" t="s">
        <v>61</v>
      </c>
    </row>
    <row r="65" spans="1:28" x14ac:dyDescent="0.25">
      <c r="A65" s="2">
        <v>46081</v>
      </c>
      <c r="B65" t="s">
        <v>221</v>
      </c>
      <c r="C65" t="s">
        <v>222</v>
      </c>
      <c r="D65" t="s">
        <v>57</v>
      </c>
      <c r="E65" t="s">
        <v>194</v>
      </c>
      <c r="F65" t="s">
        <v>58</v>
      </c>
      <c r="G65" t="s">
        <v>59</v>
      </c>
      <c r="H65">
        <v>1</v>
      </c>
      <c r="I65">
        <v>71.8</v>
      </c>
      <c r="J65">
        <v>0.5</v>
      </c>
      <c r="K65">
        <v>71.3</v>
      </c>
      <c r="L65">
        <v>620</v>
      </c>
      <c r="M65">
        <v>154</v>
      </c>
      <c r="N65">
        <v>0</v>
      </c>
      <c r="O65" t="s">
        <v>30</v>
      </c>
      <c r="P65" t="s">
        <v>31</v>
      </c>
      <c r="Q65">
        <v>0</v>
      </c>
      <c r="S65" t="s">
        <v>32</v>
      </c>
      <c r="U65">
        <v>0</v>
      </c>
      <c r="W65">
        <v>0</v>
      </c>
      <c r="X65">
        <v>0</v>
      </c>
      <c r="Y65" t="s">
        <v>223</v>
      </c>
      <c r="Z65">
        <v>0</v>
      </c>
      <c r="AB65" t="s">
        <v>61</v>
      </c>
    </row>
    <row r="66" spans="1:28" x14ac:dyDescent="0.25">
      <c r="A66" s="2">
        <v>46081</v>
      </c>
      <c r="B66" t="s">
        <v>224</v>
      </c>
      <c r="C66" t="s">
        <v>225</v>
      </c>
      <c r="D66" t="s">
        <v>57</v>
      </c>
      <c r="E66" t="s">
        <v>194</v>
      </c>
      <c r="F66" t="s">
        <v>58</v>
      </c>
      <c r="G66" t="s">
        <v>59</v>
      </c>
      <c r="H66">
        <v>1</v>
      </c>
      <c r="I66">
        <v>93.8</v>
      </c>
      <c r="J66">
        <v>20</v>
      </c>
      <c r="K66">
        <v>73.8</v>
      </c>
      <c r="L66">
        <v>650</v>
      </c>
      <c r="M66">
        <v>154</v>
      </c>
      <c r="N66">
        <v>0</v>
      </c>
      <c r="O66" t="s">
        <v>30</v>
      </c>
      <c r="P66" t="s">
        <v>31</v>
      </c>
      <c r="Q66">
        <v>0</v>
      </c>
      <c r="S66" t="s">
        <v>32</v>
      </c>
      <c r="U66">
        <v>0</v>
      </c>
      <c r="W66">
        <v>0</v>
      </c>
      <c r="X66">
        <v>0</v>
      </c>
      <c r="Y66" t="s">
        <v>226</v>
      </c>
      <c r="Z66">
        <v>0</v>
      </c>
      <c r="AB66" t="s">
        <v>61</v>
      </c>
    </row>
    <row r="67" spans="1:28" x14ac:dyDescent="0.25">
      <c r="A67" s="2">
        <v>46081</v>
      </c>
      <c r="B67" t="s">
        <v>227</v>
      </c>
      <c r="C67" t="s">
        <v>51</v>
      </c>
      <c r="D67" t="s">
        <v>57</v>
      </c>
      <c r="E67" t="s">
        <v>194</v>
      </c>
      <c r="F67" t="s">
        <v>58</v>
      </c>
      <c r="G67" t="s">
        <v>59</v>
      </c>
      <c r="H67">
        <v>1</v>
      </c>
      <c r="I67">
        <v>47.8</v>
      </c>
      <c r="J67">
        <v>0</v>
      </c>
      <c r="K67">
        <v>47.8</v>
      </c>
      <c r="L67">
        <v>420</v>
      </c>
      <c r="M67">
        <v>154</v>
      </c>
      <c r="N67">
        <v>0</v>
      </c>
      <c r="O67" t="s">
        <v>30</v>
      </c>
      <c r="P67" t="s">
        <v>31</v>
      </c>
      <c r="Q67">
        <v>0</v>
      </c>
      <c r="S67" t="s">
        <v>32</v>
      </c>
      <c r="U67">
        <v>0</v>
      </c>
      <c r="W67">
        <v>0</v>
      </c>
      <c r="X67">
        <v>0</v>
      </c>
      <c r="Y67" t="s">
        <v>228</v>
      </c>
      <c r="Z67">
        <v>0</v>
      </c>
      <c r="AB67" t="s">
        <v>61</v>
      </c>
    </row>
    <row r="68" spans="1:28" x14ac:dyDescent="0.25">
      <c r="A68" s="2">
        <v>46082</v>
      </c>
      <c r="B68" t="s">
        <v>229</v>
      </c>
      <c r="C68" t="s">
        <v>40</v>
      </c>
      <c r="D68" t="s">
        <v>57</v>
      </c>
      <c r="E68" t="s">
        <v>194</v>
      </c>
      <c r="F68" t="s">
        <v>58</v>
      </c>
      <c r="G68" t="s">
        <v>230</v>
      </c>
      <c r="H68">
        <v>1</v>
      </c>
      <c r="I68">
        <v>22</v>
      </c>
      <c r="J68">
        <v>4.5</v>
      </c>
      <c r="K68">
        <v>17.5</v>
      </c>
      <c r="L68">
        <v>320</v>
      </c>
      <c r="M68">
        <v>47</v>
      </c>
      <c r="N68">
        <v>0</v>
      </c>
      <c r="O68" t="s">
        <v>30</v>
      </c>
      <c r="P68" t="s">
        <v>31</v>
      </c>
      <c r="Q68">
        <v>0</v>
      </c>
      <c r="S68" t="s">
        <v>32</v>
      </c>
      <c r="U68">
        <v>0</v>
      </c>
      <c r="W68">
        <v>0</v>
      </c>
      <c r="X68">
        <v>0</v>
      </c>
      <c r="Y68" t="s">
        <v>231</v>
      </c>
      <c r="Z68">
        <v>0</v>
      </c>
      <c r="AB68" t="s">
        <v>61</v>
      </c>
    </row>
    <row r="69" spans="1:28" x14ac:dyDescent="0.25">
      <c r="A69" s="2">
        <v>46082</v>
      </c>
      <c r="B69" t="s">
        <v>232</v>
      </c>
      <c r="C69" t="s">
        <v>233</v>
      </c>
      <c r="D69" t="s">
        <v>57</v>
      </c>
      <c r="E69" t="s">
        <v>194</v>
      </c>
      <c r="F69" t="s">
        <v>58</v>
      </c>
      <c r="G69" t="s">
        <v>230</v>
      </c>
      <c r="H69">
        <v>1</v>
      </c>
      <c r="I69">
        <v>25.8</v>
      </c>
      <c r="J69">
        <v>0</v>
      </c>
      <c r="K69">
        <v>25.8</v>
      </c>
      <c r="L69">
        <v>470</v>
      </c>
      <c r="M69">
        <v>47</v>
      </c>
      <c r="N69">
        <v>0</v>
      </c>
      <c r="O69" t="s">
        <v>30</v>
      </c>
      <c r="P69" t="s">
        <v>31</v>
      </c>
      <c r="Q69">
        <v>0</v>
      </c>
      <c r="S69" t="s">
        <v>32</v>
      </c>
      <c r="U69">
        <v>0</v>
      </c>
      <c r="W69">
        <v>0</v>
      </c>
      <c r="X69">
        <v>0</v>
      </c>
      <c r="Y69" t="s">
        <v>234</v>
      </c>
      <c r="Z69">
        <v>0</v>
      </c>
      <c r="AB69" t="s">
        <v>61</v>
      </c>
    </row>
    <row r="70" spans="1:28" x14ac:dyDescent="0.25">
      <c r="A70" s="2">
        <v>46082</v>
      </c>
      <c r="B70" t="s">
        <v>235</v>
      </c>
      <c r="C70" t="s">
        <v>236</v>
      </c>
      <c r="D70" t="s">
        <v>57</v>
      </c>
      <c r="E70" t="s">
        <v>194</v>
      </c>
      <c r="F70" t="s">
        <v>58</v>
      </c>
      <c r="G70" t="s">
        <v>230</v>
      </c>
      <c r="H70">
        <v>1</v>
      </c>
      <c r="I70">
        <v>48.2</v>
      </c>
      <c r="J70">
        <v>5</v>
      </c>
      <c r="K70">
        <v>43.2</v>
      </c>
      <c r="L70">
        <v>450</v>
      </c>
      <c r="M70">
        <v>47</v>
      </c>
      <c r="N70">
        <v>0</v>
      </c>
      <c r="O70" t="s">
        <v>30</v>
      </c>
      <c r="P70" t="s">
        <v>31</v>
      </c>
      <c r="Q70">
        <v>0</v>
      </c>
      <c r="S70" t="s">
        <v>32</v>
      </c>
      <c r="U70">
        <v>0</v>
      </c>
      <c r="W70">
        <v>0</v>
      </c>
      <c r="X70">
        <v>0</v>
      </c>
      <c r="Y70" t="s">
        <v>237</v>
      </c>
      <c r="Z70">
        <v>0</v>
      </c>
      <c r="AB70" t="s">
        <v>61</v>
      </c>
    </row>
    <row r="71" spans="1:28" x14ac:dyDescent="0.25">
      <c r="A71" s="2">
        <v>46082</v>
      </c>
      <c r="B71" t="s">
        <v>238</v>
      </c>
      <c r="C71" t="s">
        <v>239</v>
      </c>
      <c r="D71" t="s">
        <v>57</v>
      </c>
      <c r="E71" t="s">
        <v>194</v>
      </c>
      <c r="F71" t="s">
        <v>58</v>
      </c>
      <c r="G71" t="s">
        <v>240</v>
      </c>
      <c r="H71">
        <v>1</v>
      </c>
      <c r="I71">
        <v>20.6</v>
      </c>
      <c r="J71">
        <v>1</v>
      </c>
      <c r="K71">
        <v>19.600000000000001</v>
      </c>
      <c r="L71">
        <v>380</v>
      </c>
      <c r="M71">
        <v>32</v>
      </c>
      <c r="N71">
        <v>0</v>
      </c>
      <c r="O71" t="s">
        <v>30</v>
      </c>
      <c r="P71" t="s">
        <v>31</v>
      </c>
      <c r="Q71">
        <v>0</v>
      </c>
      <c r="S71" t="s">
        <v>32</v>
      </c>
      <c r="U71">
        <v>0</v>
      </c>
      <c r="W71">
        <v>41.6</v>
      </c>
      <c r="X71">
        <v>41.6</v>
      </c>
      <c r="Y71" t="s">
        <v>241</v>
      </c>
      <c r="Z71">
        <v>0</v>
      </c>
      <c r="AB71" t="s">
        <v>61</v>
      </c>
    </row>
    <row r="72" spans="1:28" x14ac:dyDescent="0.25">
      <c r="A72" s="2">
        <v>46082</v>
      </c>
      <c r="B72" t="s">
        <v>242</v>
      </c>
      <c r="C72" t="s">
        <v>243</v>
      </c>
      <c r="D72" t="s">
        <v>57</v>
      </c>
      <c r="E72" t="s">
        <v>194</v>
      </c>
      <c r="F72" t="s">
        <v>58</v>
      </c>
      <c r="G72" t="s">
        <v>240</v>
      </c>
      <c r="H72">
        <v>1</v>
      </c>
      <c r="I72">
        <v>26.4</v>
      </c>
      <c r="J72">
        <v>5</v>
      </c>
      <c r="K72">
        <v>21.4</v>
      </c>
      <c r="L72">
        <v>340</v>
      </c>
      <c r="M72">
        <v>32</v>
      </c>
      <c r="N72">
        <v>0</v>
      </c>
      <c r="O72" t="s">
        <v>30</v>
      </c>
      <c r="P72" t="s">
        <v>31</v>
      </c>
      <c r="Q72">
        <v>0</v>
      </c>
      <c r="S72" t="s">
        <v>32</v>
      </c>
      <c r="U72">
        <v>0</v>
      </c>
      <c r="W72">
        <v>0</v>
      </c>
      <c r="X72">
        <v>0</v>
      </c>
      <c r="Y72" t="s">
        <v>244</v>
      </c>
      <c r="Z72">
        <v>0</v>
      </c>
      <c r="AB72" t="s">
        <v>61</v>
      </c>
    </row>
    <row r="73" spans="1:28" x14ac:dyDescent="0.25">
      <c r="A73" s="2">
        <v>46082</v>
      </c>
      <c r="B73" t="s">
        <v>245</v>
      </c>
      <c r="C73" t="s">
        <v>246</v>
      </c>
      <c r="D73" t="s">
        <v>57</v>
      </c>
      <c r="E73" t="s">
        <v>194</v>
      </c>
      <c r="F73" t="s">
        <v>58</v>
      </c>
      <c r="G73" t="s">
        <v>240</v>
      </c>
      <c r="H73">
        <v>1</v>
      </c>
      <c r="I73">
        <v>3.8</v>
      </c>
      <c r="J73">
        <v>1</v>
      </c>
      <c r="K73">
        <v>2.8</v>
      </c>
      <c r="L73">
        <v>230</v>
      </c>
      <c r="M73">
        <v>32</v>
      </c>
      <c r="N73">
        <v>0</v>
      </c>
      <c r="O73" t="s">
        <v>30</v>
      </c>
      <c r="P73" t="s">
        <v>31</v>
      </c>
      <c r="Q73">
        <v>0</v>
      </c>
      <c r="S73" t="s">
        <v>32</v>
      </c>
      <c r="U73">
        <v>0</v>
      </c>
      <c r="W73">
        <v>0</v>
      </c>
      <c r="X73">
        <v>0</v>
      </c>
      <c r="Y73" t="s">
        <v>247</v>
      </c>
      <c r="Z73">
        <v>0</v>
      </c>
      <c r="AB73" t="s">
        <v>61</v>
      </c>
    </row>
    <row r="74" spans="1:28" x14ac:dyDescent="0.25">
      <c r="A74" s="2">
        <v>46082</v>
      </c>
      <c r="B74" t="s">
        <v>248</v>
      </c>
      <c r="C74" t="s">
        <v>249</v>
      </c>
      <c r="D74" t="s">
        <v>57</v>
      </c>
      <c r="E74" t="s">
        <v>194</v>
      </c>
      <c r="F74" t="s">
        <v>58</v>
      </c>
      <c r="G74" t="s">
        <v>250</v>
      </c>
      <c r="H74">
        <v>1</v>
      </c>
      <c r="I74">
        <v>64.400000000000006</v>
      </c>
      <c r="J74">
        <v>12.5</v>
      </c>
      <c r="K74">
        <v>51.9</v>
      </c>
      <c r="L74">
        <v>530</v>
      </c>
      <c r="M74">
        <v>58</v>
      </c>
      <c r="N74">
        <v>0</v>
      </c>
      <c r="O74" t="s">
        <v>251</v>
      </c>
      <c r="P74" t="s">
        <v>31</v>
      </c>
      <c r="Q74">
        <v>0</v>
      </c>
      <c r="S74" t="s">
        <v>32</v>
      </c>
      <c r="U74">
        <v>0</v>
      </c>
      <c r="W74">
        <v>0</v>
      </c>
      <c r="X74">
        <v>0</v>
      </c>
      <c r="Y74" t="s">
        <v>252</v>
      </c>
      <c r="Z74">
        <v>0</v>
      </c>
      <c r="AB74" t="s">
        <v>61</v>
      </c>
    </row>
    <row r="75" spans="1:28" x14ac:dyDescent="0.25">
      <c r="A75" s="2">
        <v>46082</v>
      </c>
      <c r="B75" t="s">
        <v>259</v>
      </c>
      <c r="C75" t="s">
        <v>260</v>
      </c>
      <c r="D75" t="s">
        <v>57</v>
      </c>
      <c r="E75" t="s">
        <v>36</v>
      </c>
      <c r="F75" t="s">
        <v>58</v>
      </c>
      <c r="G75" t="s">
        <v>230</v>
      </c>
      <c r="H75">
        <v>1</v>
      </c>
      <c r="I75">
        <v>70.8</v>
      </c>
      <c r="J75">
        <v>19</v>
      </c>
      <c r="K75">
        <v>51.8</v>
      </c>
      <c r="L75">
        <v>650</v>
      </c>
      <c r="M75">
        <v>47</v>
      </c>
      <c r="N75">
        <v>0</v>
      </c>
      <c r="O75" t="s">
        <v>30</v>
      </c>
      <c r="P75" t="s">
        <v>31</v>
      </c>
      <c r="Q75">
        <v>0</v>
      </c>
      <c r="S75" t="s">
        <v>32</v>
      </c>
      <c r="U75">
        <v>0</v>
      </c>
      <c r="W75">
        <v>0</v>
      </c>
      <c r="X75">
        <v>0</v>
      </c>
      <c r="Y75" t="s">
        <v>261</v>
      </c>
      <c r="Z75">
        <v>0</v>
      </c>
      <c r="AB75" t="s">
        <v>61</v>
      </c>
    </row>
    <row r="76" spans="1:28" x14ac:dyDescent="0.25">
      <c r="A76" s="2">
        <v>46082</v>
      </c>
      <c r="B76" t="s">
        <v>262</v>
      </c>
      <c r="C76" t="s">
        <v>263</v>
      </c>
      <c r="D76" t="s">
        <v>57</v>
      </c>
      <c r="E76" t="s">
        <v>36</v>
      </c>
      <c r="F76" t="s">
        <v>58</v>
      </c>
      <c r="G76" t="s">
        <v>230</v>
      </c>
      <c r="H76">
        <v>1</v>
      </c>
      <c r="I76">
        <v>34.799999999999997</v>
      </c>
      <c r="J76">
        <v>0</v>
      </c>
      <c r="K76">
        <v>34.799999999999997</v>
      </c>
      <c r="L76">
        <v>480</v>
      </c>
      <c r="M76">
        <v>47</v>
      </c>
      <c r="N76">
        <v>0</v>
      </c>
      <c r="O76" t="s">
        <v>30</v>
      </c>
      <c r="P76" t="s">
        <v>31</v>
      </c>
      <c r="Q76">
        <v>0</v>
      </c>
      <c r="S76" t="s">
        <v>32</v>
      </c>
      <c r="U76">
        <v>0</v>
      </c>
      <c r="W76">
        <v>0</v>
      </c>
      <c r="X76">
        <v>0</v>
      </c>
      <c r="Y76" t="s">
        <v>264</v>
      </c>
      <c r="Z76">
        <v>0</v>
      </c>
      <c r="AB76" t="s">
        <v>61</v>
      </c>
    </row>
    <row r="77" spans="1:28" x14ac:dyDescent="0.25">
      <c r="A77" s="2">
        <v>46082</v>
      </c>
      <c r="B77" t="s">
        <v>265</v>
      </c>
      <c r="C77" t="s">
        <v>266</v>
      </c>
      <c r="D77" t="s">
        <v>57</v>
      </c>
      <c r="E77" t="s">
        <v>36</v>
      </c>
      <c r="F77" t="s">
        <v>58</v>
      </c>
      <c r="G77" t="s">
        <v>230</v>
      </c>
      <c r="H77">
        <v>1</v>
      </c>
      <c r="I77">
        <v>27</v>
      </c>
      <c r="J77">
        <v>0</v>
      </c>
      <c r="K77">
        <v>27</v>
      </c>
      <c r="L77">
        <v>480</v>
      </c>
      <c r="M77">
        <v>47</v>
      </c>
      <c r="N77">
        <v>0</v>
      </c>
      <c r="O77" t="s">
        <v>30</v>
      </c>
      <c r="P77" t="s">
        <v>31</v>
      </c>
      <c r="Q77">
        <v>0</v>
      </c>
      <c r="S77" t="s">
        <v>32</v>
      </c>
      <c r="U77">
        <v>0</v>
      </c>
      <c r="W77">
        <v>0</v>
      </c>
      <c r="X77">
        <v>0</v>
      </c>
      <c r="Y77" t="s">
        <v>267</v>
      </c>
      <c r="Z77">
        <v>0</v>
      </c>
      <c r="AB77" t="s">
        <v>61</v>
      </c>
    </row>
    <row r="78" spans="1:28" x14ac:dyDescent="0.25">
      <c r="A78" s="2">
        <v>46082</v>
      </c>
      <c r="B78" t="s">
        <v>268</v>
      </c>
      <c r="C78" t="s">
        <v>269</v>
      </c>
      <c r="D78" t="s">
        <v>57</v>
      </c>
      <c r="E78" t="s">
        <v>36</v>
      </c>
      <c r="F78" t="s">
        <v>58</v>
      </c>
      <c r="G78" t="s">
        <v>230</v>
      </c>
      <c r="H78">
        <v>1</v>
      </c>
      <c r="I78">
        <v>43.8</v>
      </c>
      <c r="J78">
        <v>4</v>
      </c>
      <c r="K78">
        <v>39.799999999999997</v>
      </c>
      <c r="L78">
        <v>480</v>
      </c>
      <c r="M78">
        <v>47</v>
      </c>
      <c r="N78">
        <v>0</v>
      </c>
      <c r="O78" t="s">
        <v>30</v>
      </c>
      <c r="P78" t="s">
        <v>31</v>
      </c>
      <c r="Q78">
        <v>0</v>
      </c>
      <c r="S78" t="s">
        <v>32</v>
      </c>
      <c r="U78">
        <v>0</v>
      </c>
      <c r="W78">
        <v>0</v>
      </c>
      <c r="X78">
        <v>0</v>
      </c>
      <c r="Y78" t="s">
        <v>270</v>
      </c>
      <c r="Z78">
        <v>0</v>
      </c>
      <c r="AB78" t="s">
        <v>61</v>
      </c>
    </row>
    <row r="79" spans="1:28" x14ac:dyDescent="0.25">
      <c r="A79" s="2">
        <v>46082</v>
      </c>
      <c r="B79" t="s">
        <v>271</v>
      </c>
      <c r="C79" t="s">
        <v>41</v>
      </c>
      <c r="D79" t="s">
        <v>57</v>
      </c>
      <c r="E79" t="s">
        <v>36</v>
      </c>
      <c r="F79" t="s">
        <v>58</v>
      </c>
      <c r="G79" t="s">
        <v>230</v>
      </c>
      <c r="H79">
        <v>1</v>
      </c>
      <c r="I79">
        <v>49.2</v>
      </c>
      <c r="J79">
        <v>11.5</v>
      </c>
      <c r="K79">
        <v>37.700000000000003</v>
      </c>
      <c r="L79">
        <v>480</v>
      </c>
      <c r="M79">
        <v>47</v>
      </c>
      <c r="N79">
        <v>0</v>
      </c>
      <c r="O79" t="s">
        <v>30</v>
      </c>
      <c r="P79" t="s">
        <v>31</v>
      </c>
      <c r="Q79">
        <v>0</v>
      </c>
      <c r="S79" t="s">
        <v>32</v>
      </c>
      <c r="U79">
        <v>0</v>
      </c>
      <c r="W79">
        <v>0</v>
      </c>
      <c r="X79">
        <v>0</v>
      </c>
      <c r="Y79" t="s">
        <v>272</v>
      </c>
      <c r="Z79">
        <v>0</v>
      </c>
      <c r="AB79" t="s">
        <v>61</v>
      </c>
    </row>
    <row r="80" spans="1:28" x14ac:dyDescent="0.25">
      <c r="A80" s="2">
        <v>46082</v>
      </c>
      <c r="B80" t="s">
        <v>273</v>
      </c>
      <c r="C80" t="s">
        <v>274</v>
      </c>
      <c r="D80" t="s">
        <v>57</v>
      </c>
      <c r="E80" t="s">
        <v>36</v>
      </c>
      <c r="F80" t="s">
        <v>58</v>
      </c>
      <c r="G80" t="s">
        <v>230</v>
      </c>
      <c r="H80">
        <v>1</v>
      </c>
      <c r="I80">
        <v>49</v>
      </c>
      <c r="J80">
        <v>10</v>
      </c>
      <c r="K80">
        <v>39</v>
      </c>
      <c r="L80">
        <v>480</v>
      </c>
      <c r="M80">
        <v>47</v>
      </c>
      <c r="N80">
        <v>0</v>
      </c>
      <c r="O80" t="s">
        <v>30</v>
      </c>
      <c r="P80" t="s">
        <v>31</v>
      </c>
      <c r="Q80">
        <v>0</v>
      </c>
      <c r="S80" t="s">
        <v>32</v>
      </c>
      <c r="U80">
        <v>0</v>
      </c>
      <c r="W80">
        <v>0</v>
      </c>
      <c r="X80">
        <v>0</v>
      </c>
      <c r="Y80" t="s">
        <v>275</v>
      </c>
      <c r="Z80">
        <v>0</v>
      </c>
      <c r="AB80" t="s">
        <v>61</v>
      </c>
    </row>
    <row r="81" spans="1:28" x14ac:dyDescent="0.25">
      <c r="A81" s="2">
        <v>46082</v>
      </c>
      <c r="B81" t="s">
        <v>276</v>
      </c>
      <c r="C81" t="s">
        <v>277</v>
      </c>
      <c r="D81" t="s">
        <v>57</v>
      </c>
      <c r="E81" t="s">
        <v>36</v>
      </c>
      <c r="F81" t="s">
        <v>58</v>
      </c>
      <c r="G81" t="s">
        <v>230</v>
      </c>
      <c r="H81">
        <v>1</v>
      </c>
      <c r="I81">
        <v>33.799999999999997</v>
      </c>
      <c r="J81">
        <v>4</v>
      </c>
      <c r="K81">
        <v>29.8</v>
      </c>
      <c r="L81">
        <v>400</v>
      </c>
      <c r="M81">
        <v>47</v>
      </c>
      <c r="N81">
        <v>0</v>
      </c>
      <c r="O81" t="s">
        <v>30</v>
      </c>
      <c r="P81" t="s">
        <v>31</v>
      </c>
      <c r="Q81">
        <v>0</v>
      </c>
      <c r="S81" t="s">
        <v>32</v>
      </c>
      <c r="U81">
        <v>0</v>
      </c>
      <c r="W81">
        <v>0</v>
      </c>
      <c r="X81">
        <v>0</v>
      </c>
      <c r="Y81" t="s">
        <v>278</v>
      </c>
      <c r="Z81">
        <v>0</v>
      </c>
      <c r="AB81" t="s">
        <v>61</v>
      </c>
    </row>
    <row r="82" spans="1:28" x14ac:dyDescent="0.25">
      <c r="A82" s="2">
        <v>46082</v>
      </c>
      <c r="B82" t="s">
        <v>279</v>
      </c>
      <c r="C82" t="s">
        <v>280</v>
      </c>
      <c r="D82" t="s">
        <v>57</v>
      </c>
      <c r="E82" t="s">
        <v>36</v>
      </c>
      <c r="F82" t="s">
        <v>58</v>
      </c>
      <c r="G82" t="s">
        <v>230</v>
      </c>
      <c r="H82">
        <v>1</v>
      </c>
      <c r="I82">
        <v>64.8</v>
      </c>
      <c r="J82">
        <v>6</v>
      </c>
      <c r="K82">
        <v>58.8</v>
      </c>
      <c r="L82">
        <v>520</v>
      </c>
      <c r="M82">
        <v>47</v>
      </c>
      <c r="N82">
        <v>0</v>
      </c>
      <c r="O82" t="s">
        <v>30</v>
      </c>
      <c r="P82" t="s">
        <v>31</v>
      </c>
      <c r="Q82">
        <v>0</v>
      </c>
      <c r="S82" t="s">
        <v>32</v>
      </c>
      <c r="U82">
        <v>0</v>
      </c>
      <c r="W82">
        <v>0</v>
      </c>
      <c r="X82">
        <v>0</v>
      </c>
      <c r="Y82" t="s">
        <v>281</v>
      </c>
      <c r="Z82">
        <v>0</v>
      </c>
      <c r="AB82" t="s">
        <v>61</v>
      </c>
    </row>
    <row r="83" spans="1:28" x14ac:dyDescent="0.25">
      <c r="A83" s="2">
        <v>46082</v>
      </c>
      <c r="B83" t="s">
        <v>282</v>
      </c>
      <c r="C83" t="s">
        <v>41</v>
      </c>
      <c r="D83" t="s">
        <v>57</v>
      </c>
      <c r="E83" t="s">
        <v>36</v>
      </c>
      <c r="F83" t="s">
        <v>58</v>
      </c>
      <c r="G83" t="s">
        <v>230</v>
      </c>
      <c r="H83">
        <v>1</v>
      </c>
      <c r="I83">
        <v>40</v>
      </c>
      <c r="J83">
        <v>10</v>
      </c>
      <c r="K83">
        <v>30</v>
      </c>
      <c r="L83">
        <v>450</v>
      </c>
      <c r="M83">
        <v>47</v>
      </c>
      <c r="N83">
        <v>0</v>
      </c>
      <c r="O83" t="s">
        <v>30</v>
      </c>
      <c r="P83" t="s">
        <v>31</v>
      </c>
      <c r="Q83">
        <v>0</v>
      </c>
      <c r="S83" t="s">
        <v>32</v>
      </c>
      <c r="U83">
        <v>0</v>
      </c>
      <c r="W83">
        <v>0</v>
      </c>
      <c r="X83">
        <v>0</v>
      </c>
      <c r="Y83" t="s">
        <v>283</v>
      </c>
      <c r="Z83">
        <v>0</v>
      </c>
      <c r="AB83" t="s">
        <v>61</v>
      </c>
    </row>
    <row r="84" spans="1:28" x14ac:dyDescent="0.25">
      <c r="A84" s="2">
        <v>46082</v>
      </c>
      <c r="B84" t="s">
        <v>284</v>
      </c>
      <c r="C84" t="s">
        <v>285</v>
      </c>
      <c r="D84" t="s">
        <v>57</v>
      </c>
      <c r="E84" t="s">
        <v>36</v>
      </c>
      <c r="F84" t="s">
        <v>58</v>
      </c>
      <c r="G84" t="s">
        <v>230</v>
      </c>
      <c r="H84">
        <v>1</v>
      </c>
      <c r="I84">
        <v>35.200000000000003</v>
      </c>
      <c r="J84">
        <v>2</v>
      </c>
      <c r="K84">
        <v>33.200000000000003</v>
      </c>
      <c r="L84">
        <v>450</v>
      </c>
      <c r="M84">
        <v>47</v>
      </c>
      <c r="N84">
        <v>0</v>
      </c>
      <c r="O84" t="s">
        <v>30</v>
      </c>
      <c r="P84" t="s">
        <v>31</v>
      </c>
      <c r="Q84">
        <v>0</v>
      </c>
      <c r="S84" t="s">
        <v>32</v>
      </c>
      <c r="U84">
        <v>0</v>
      </c>
      <c r="W84">
        <v>0</v>
      </c>
      <c r="X84">
        <v>0</v>
      </c>
      <c r="Y84" t="s">
        <v>286</v>
      </c>
      <c r="Z84">
        <v>0</v>
      </c>
      <c r="AB84" t="s">
        <v>61</v>
      </c>
    </row>
    <row r="85" spans="1:28" x14ac:dyDescent="0.25">
      <c r="A85" s="2">
        <v>46082</v>
      </c>
      <c r="B85" t="s">
        <v>287</v>
      </c>
      <c r="C85" t="s">
        <v>49</v>
      </c>
      <c r="D85" t="s">
        <v>57</v>
      </c>
      <c r="E85" t="s">
        <v>36</v>
      </c>
      <c r="F85" t="s">
        <v>58</v>
      </c>
      <c r="G85" t="s">
        <v>230</v>
      </c>
      <c r="H85">
        <v>1</v>
      </c>
      <c r="I85">
        <v>52.4</v>
      </c>
      <c r="J85">
        <v>13</v>
      </c>
      <c r="K85">
        <v>39.4</v>
      </c>
      <c r="L85">
        <v>450</v>
      </c>
      <c r="M85">
        <v>47</v>
      </c>
      <c r="N85">
        <v>0</v>
      </c>
      <c r="O85" t="s">
        <v>30</v>
      </c>
      <c r="P85" t="s">
        <v>31</v>
      </c>
      <c r="Q85">
        <v>0</v>
      </c>
      <c r="S85" t="s">
        <v>32</v>
      </c>
      <c r="U85">
        <v>0</v>
      </c>
      <c r="W85">
        <v>0</v>
      </c>
      <c r="X85">
        <v>0</v>
      </c>
      <c r="Y85" t="s">
        <v>288</v>
      </c>
      <c r="Z85">
        <v>0</v>
      </c>
      <c r="AB85" t="s">
        <v>61</v>
      </c>
    </row>
    <row r="86" spans="1:28" x14ac:dyDescent="0.25">
      <c r="A86" s="2">
        <v>46082</v>
      </c>
      <c r="B86" t="s">
        <v>289</v>
      </c>
      <c r="C86" t="s">
        <v>41</v>
      </c>
      <c r="D86" t="s">
        <v>57</v>
      </c>
      <c r="E86" t="s">
        <v>36</v>
      </c>
      <c r="F86" t="s">
        <v>58</v>
      </c>
      <c r="G86" t="s">
        <v>230</v>
      </c>
      <c r="H86">
        <v>1</v>
      </c>
      <c r="I86">
        <v>48.2</v>
      </c>
      <c r="J86">
        <v>11</v>
      </c>
      <c r="K86">
        <v>37.200000000000003</v>
      </c>
      <c r="L86">
        <v>450</v>
      </c>
      <c r="M86">
        <v>47</v>
      </c>
      <c r="N86">
        <v>0</v>
      </c>
      <c r="O86" t="s">
        <v>30</v>
      </c>
      <c r="P86" t="s">
        <v>31</v>
      </c>
      <c r="Q86">
        <v>0</v>
      </c>
      <c r="S86" t="s">
        <v>32</v>
      </c>
      <c r="U86">
        <v>0</v>
      </c>
      <c r="W86">
        <v>0</v>
      </c>
      <c r="X86">
        <v>0</v>
      </c>
      <c r="Y86" t="s">
        <v>290</v>
      </c>
      <c r="Z86">
        <v>0</v>
      </c>
      <c r="AB86" t="s">
        <v>61</v>
      </c>
    </row>
    <row r="87" spans="1:28" x14ac:dyDescent="0.25">
      <c r="A87" s="2">
        <v>46082</v>
      </c>
      <c r="B87" t="s">
        <v>291</v>
      </c>
      <c r="C87" t="s">
        <v>292</v>
      </c>
      <c r="D87" t="s">
        <v>57</v>
      </c>
      <c r="E87" t="s">
        <v>36</v>
      </c>
      <c r="F87" t="s">
        <v>58</v>
      </c>
      <c r="G87" t="s">
        <v>230</v>
      </c>
      <c r="H87">
        <v>1</v>
      </c>
      <c r="I87">
        <v>42.4</v>
      </c>
      <c r="J87">
        <v>16</v>
      </c>
      <c r="K87">
        <v>26.4</v>
      </c>
      <c r="L87">
        <v>450</v>
      </c>
      <c r="M87">
        <v>47</v>
      </c>
      <c r="N87">
        <v>0</v>
      </c>
      <c r="O87" t="s">
        <v>30</v>
      </c>
      <c r="P87" t="s">
        <v>31</v>
      </c>
      <c r="Q87">
        <v>0</v>
      </c>
      <c r="S87" t="s">
        <v>32</v>
      </c>
      <c r="U87">
        <v>0</v>
      </c>
      <c r="W87">
        <v>0</v>
      </c>
      <c r="X87">
        <v>0</v>
      </c>
      <c r="Y87" t="s">
        <v>293</v>
      </c>
      <c r="Z87">
        <v>0</v>
      </c>
      <c r="AB87" t="s">
        <v>61</v>
      </c>
    </row>
    <row r="88" spans="1:28" x14ac:dyDescent="0.25">
      <c r="A88" s="2">
        <v>46082</v>
      </c>
      <c r="B88" t="s">
        <v>294</v>
      </c>
      <c r="C88" t="s">
        <v>292</v>
      </c>
      <c r="D88" t="s">
        <v>57</v>
      </c>
      <c r="E88" t="s">
        <v>36</v>
      </c>
      <c r="F88" t="s">
        <v>58</v>
      </c>
      <c r="G88" t="s">
        <v>230</v>
      </c>
      <c r="H88">
        <v>1</v>
      </c>
      <c r="I88">
        <v>50.2</v>
      </c>
      <c r="J88">
        <v>15.2</v>
      </c>
      <c r="K88">
        <v>35</v>
      </c>
      <c r="L88">
        <v>480</v>
      </c>
      <c r="M88">
        <v>47</v>
      </c>
      <c r="N88">
        <v>0</v>
      </c>
      <c r="O88" t="s">
        <v>30</v>
      </c>
      <c r="P88" t="s">
        <v>31</v>
      </c>
      <c r="Q88">
        <v>0</v>
      </c>
      <c r="S88" t="s">
        <v>32</v>
      </c>
      <c r="U88">
        <v>0</v>
      </c>
      <c r="W88">
        <v>0</v>
      </c>
      <c r="X88">
        <v>0</v>
      </c>
      <c r="Y88" t="s">
        <v>295</v>
      </c>
      <c r="Z88">
        <v>0</v>
      </c>
      <c r="AB88" t="s">
        <v>61</v>
      </c>
    </row>
    <row r="89" spans="1:28" x14ac:dyDescent="0.25">
      <c r="A89" s="2">
        <v>46082</v>
      </c>
      <c r="B89" t="s">
        <v>296</v>
      </c>
      <c r="C89" t="s">
        <v>297</v>
      </c>
      <c r="D89" t="s">
        <v>57</v>
      </c>
      <c r="E89" t="s">
        <v>36</v>
      </c>
      <c r="F89" t="s">
        <v>58</v>
      </c>
      <c r="G89" t="s">
        <v>230</v>
      </c>
      <c r="H89">
        <v>1</v>
      </c>
      <c r="I89">
        <v>37.200000000000003</v>
      </c>
      <c r="J89">
        <v>10</v>
      </c>
      <c r="K89">
        <v>27.2</v>
      </c>
      <c r="L89">
        <v>450</v>
      </c>
      <c r="M89">
        <v>47</v>
      </c>
      <c r="N89">
        <v>0</v>
      </c>
      <c r="O89" t="s">
        <v>30</v>
      </c>
      <c r="P89" t="s">
        <v>31</v>
      </c>
      <c r="Q89">
        <v>0</v>
      </c>
      <c r="S89" t="s">
        <v>32</v>
      </c>
      <c r="U89">
        <v>0</v>
      </c>
      <c r="W89">
        <v>0</v>
      </c>
      <c r="X89">
        <v>0</v>
      </c>
      <c r="Y89" t="s">
        <v>298</v>
      </c>
      <c r="Z89">
        <v>0</v>
      </c>
      <c r="AB89" t="s">
        <v>61</v>
      </c>
    </row>
    <row r="90" spans="1:28" x14ac:dyDescent="0.25">
      <c r="A90" s="2">
        <v>46082</v>
      </c>
      <c r="B90" t="s">
        <v>299</v>
      </c>
      <c r="C90" t="s">
        <v>300</v>
      </c>
      <c r="D90" t="s">
        <v>57</v>
      </c>
      <c r="E90" t="s">
        <v>36</v>
      </c>
      <c r="F90" t="s">
        <v>58</v>
      </c>
      <c r="G90" t="s">
        <v>230</v>
      </c>
      <c r="H90">
        <v>1</v>
      </c>
      <c r="I90">
        <v>43.2</v>
      </c>
      <c r="J90">
        <v>10</v>
      </c>
      <c r="K90">
        <v>33.200000000000003</v>
      </c>
      <c r="L90">
        <v>450</v>
      </c>
      <c r="M90">
        <v>47</v>
      </c>
      <c r="N90">
        <v>0</v>
      </c>
      <c r="O90" t="s">
        <v>30</v>
      </c>
      <c r="P90" t="s">
        <v>31</v>
      </c>
      <c r="Q90">
        <v>0</v>
      </c>
      <c r="S90" t="s">
        <v>32</v>
      </c>
      <c r="U90">
        <v>0</v>
      </c>
      <c r="W90">
        <v>0</v>
      </c>
      <c r="X90">
        <v>0</v>
      </c>
      <c r="Y90" t="s">
        <v>301</v>
      </c>
      <c r="Z90">
        <v>0</v>
      </c>
      <c r="AB90" t="s">
        <v>61</v>
      </c>
    </row>
    <row r="91" spans="1:28" x14ac:dyDescent="0.25">
      <c r="A91" s="2">
        <v>46082</v>
      </c>
      <c r="B91" t="s">
        <v>302</v>
      </c>
      <c r="C91" t="s">
        <v>35</v>
      </c>
      <c r="D91" t="s">
        <v>57</v>
      </c>
      <c r="E91" t="s">
        <v>36</v>
      </c>
      <c r="F91" t="s">
        <v>58</v>
      </c>
      <c r="G91" t="s">
        <v>230</v>
      </c>
      <c r="H91">
        <v>1</v>
      </c>
      <c r="I91">
        <v>54</v>
      </c>
      <c r="J91">
        <v>11</v>
      </c>
      <c r="K91">
        <v>43</v>
      </c>
      <c r="L91">
        <v>550</v>
      </c>
      <c r="M91">
        <v>47</v>
      </c>
      <c r="N91">
        <v>0</v>
      </c>
      <c r="O91" t="s">
        <v>30</v>
      </c>
      <c r="P91" t="s">
        <v>31</v>
      </c>
      <c r="Q91">
        <v>0</v>
      </c>
      <c r="S91" t="s">
        <v>32</v>
      </c>
      <c r="U91">
        <v>0</v>
      </c>
      <c r="W91">
        <v>0</v>
      </c>
      <c r="X91">
        <v>0</v>
      </c>
      <c r="Y91" t="s">
        <v>303</v>
      </c>
      <c r="Z91">
        <v>0</v>
      </c>
      <c r="AB91" t="s">
        <v>61</v>
      </c>
    </row>
    <row r="92" spans="1:28" x14ac:dyDescent="0.25">
      <c r="A92" s="2">
        <v>46082</v>
      </c>
      <c r="B92" t="s">
        <v>304</v>
      </c>
      <c r="C92" t="s">
        <v>305</v>
      </c>
      <c r="D92" t="s">
        <v>57</v>
      </c>
      <c r="E92" t="s">
        <v>36</v>
      </c>
      <c r="F92" t="s">
        <v>58</v>
      </c>
      <c r="G92" t="s">
        <v>230</v>
      </c>
      <c r="H92">
        <v>1</v>
      </c>
      <c r="I92">
        <v>59.8</v>
      </c>
      <c r="J92">
        <v>10</v>
      </c>
      <c r="K92">
        <v>49.8</v>
      </c>
      <c r="L92">
        <v>580</v>
      </c>
      <c r="M92">
        <v>47</v>
      </c>
      <c r="N92">
        <v>0</v>
      </c>
      <c r="O92" t="s">
        <v>30</v>
      </c>
      <c r="P92" t="s">
        <v>31</v>
      </c>
      <c r="Q92">
        <v>0</v>
      </c>
      <c r="S92" t="s">
        <v>32</v>
      </c>
      <c r="U92">
        <v>0</v>
      </c>
      <c r="W92">
        <v>0</v>
      </c>
      <c r="X92">
        <v>0</v>
      </c>
      <c r="Y92" t="s">
        <v>306</v>
      </c>
      <c r="Z92">
        <v>0</v>
      </c>
      <c r="AB92" t="s">
        <v>61</v>
      </c>
    </row>
    <row r="93" spans="1:28" x14ac:dyDescent="0.25">
      <c r="A93" s="2">
        <v>46082</v>
      </c>
      <c r="B93" t="s">
        <v>307</v>
      </c>
      <c r="C93" t="s">
        <v>49</v>
      </c>
      <c r="D93" t="s">
        <v>57</v>
      </c>
      <c r="E93" t="s">
        <v>36</v>
      </c>
      <c r="F93" t="s">
        <v>58</v>
      </c>
      <c r="G93" t="s">
        <v>230</v>
      </c>
      <c r="H93">
        <v>1</v>
      </c>
      <c r="I93">
        <v>46.6</v>
      </c>
      <c r="J93">
        <v>10.5</v>
      </c>
      <c r="K93">
        <v>36.1</v>
      </c>
      <c r="L93">
        <v>500</v>
      </c>
      <c r="M93">
        <v>47</v>
      </c>
      <c r="N93">
        <v>0</v>
      </c>
      <c r="O93" t="s">
        <v>30</v>
      </c>
      <c r="P93" t="s">
        <v>31</v>
      </c>
      <c r="Q93">
        <v>0</v>
      </c>
      <c r="S93" t="s">
        <v>32</v>
      </c>
      <c r="U93">
        <v>0</v>
      </c>
      <c r="W93">
        <v>0</v>
      </c>
      <c r="X93">
        <v>0</v>
      </c>
      <c r="Y93" t="s">
        <v>308</v>
      </c>
      <c r="Z93">
        <v>0</v>
      </c>
      <c r="AB93" t="s">
        <v>61</v>
      </c>
    </row>
    <row r="94" spans="1:28" x14ac:dyDescent="0.25">
      <c r="A94" s="2">
        <v>46082</v>
      </c>
      <c r="B94" t="s">
        <v>309</v>
      </c>
      <c r="C94" t="s">
        <v>49</v>
      </c>
      <c r="D94" t="s">
        <v>57</v>
      </c>
      <c r="E94" t="s">
        <v>36</v>
      </c>
      <c r="F94" t="s">
        <v>58</v>
      </c>
      <c r="G94" t="s">
        <v>230</v>
      </c>
      <c r="H94">
        <v>1</v>
      </c>
      <c r="I94">
        <v>67.400000000000006</v>
      </c>
      <c r="J94">
        <v>18.5</v>
      </c>
      <c r="K94">
        <v>48.9</v>
      </c>
      <c r="L94">
        <v>580</v>
      </c>
      <c r="M94">
        <v>47</v>
      </c>
      <c r="N94">
        <v>0</v>
      </c>
      <c r="O94" t="s">
        <v>30</v>
      </c>
      <c r="P94" t="s">
        <v>31</v>
      </c>
      <c r="Q94">
        <v>0</v>
      </c>
      <c r="S94" t="s">
        <v>32</v>
      </c>
      <c r="U94">
        <v>0</v>
      </c>
      <c r="W94">
        <v>0</v>
      </c>
      <c r="X94">
        <v>0</v>
      </c>
      <c r="Y94" t="s">
        <v>310</v>
      </c>
      <c r="Z94">
        <v>0</v>
      </c>
      <c r="AB94" t="s">
        <v>61</v>
      </c>
    </row>
    <row r="95" spans="1:28" x14ac:dyDescent="0.25">
      <c r="A95" s="2">
        <v>46082</v>
      </c>
      <c r="B95" t="s">
        <v>311</v>
      </c>
      <c r="C95" t="s">
        <v>312</v>
      </c>
      <c r="D95" t="s">
        <v>57</v>
      </c>
      <c r="E95" t="s">
        <v>36</v>
      </c>
      <c r="F95" t="s">
        <v>58</v>
      </c>
      <c r="G95" t="s">
        <v>230</v>
      </c>
      <c r="H95">
        <v>1</v>
      </c>
      <c r="I95">
        <v>53</v>
      </c>
      <c r="J95">
        <v>12</v>
      </c>
      <c r="K95">
        <v>41</v>
      </c>
      <c r="L95">
        <v>550</v>
      </c>
      <c r="M95">
        <v>47</v>
      </c>
      <c r="N95">
        <v>0</v>
      </c>
      <c r="O95" t="s">
        <v>30</v>
      </c>
      <c r="P95" t="s">
        <v>31</v>
      </c>
      <c r="Q95">
        <v>0</v>
      </c>
      <c r="S95" t="s">
        <v>32</v>
      </c>
      <c r="U95">
        <v>0</v>
      </c>
      <c r="W95">
        <v>0</v>
      </c>
      <c r="X95">
        <v>0</v>
      </c>
      <c r="Y95" t="s">
        <v>313</v>
      </c>
      <c r="Z95">
        <v>0</v>
      </c>
      <c r="AB95" t="s">
        <v>61</v>
      </c>
    </row>
    <row r="96" spans="1:28" x14ac:dyDescent="0.25">
      <c r="A96" s="2">
        <v>46082</v>
      </c>
      <c r="B96" t="s">
        <v>314</v>
      </c>
      <c r="C96" t="s">
        <v>49</v>
      </c>
      <c r="D96" t="s">
        <v>57</v>
      </c>
      <c r="E96" t="s">
        <v>36</v>
      </c>
      <c r="F96" t="s">
        <v>58</v>
      </c>
      <c r="G96" t="s">
        <v>230</v>
      </c>
      <c r="H96">
        <v>1</v>
      </c>
      <c r="I96">
        <v>53.6</v>
      </c>
      <c r="J96">
        <v>12</v>
      </c>
      <c r="K96">
        <v>41.6</v>
      </c>
      <c r="L96">
        <v>550</v>
      </c>
      <c r="M96">
        <v>47</v>
      </c>
      <c r="N96">
        <v>0</v>
      </c>
      <c r="O96" t="s">
        <v>30</v>
      </c>
      <c r="P96" t="s">
        <v>31</v>
      </c>
      <c r="Q96">
        <v>0</v>
      </c>
      <c r="S96" t="s">
        <v>32</v>
      </c>
      <c r="U96">
        <v>0</v>
      </c>
      <c r="W96">
        <v>0</v>
      </c>
      <c r="X96">
        <v>0</v>
      </c>
      <c r="Y96" t="s">
        <v>315</v>
      </c>
      <c r="Z96">
        <v>0</v>
      </c>
      <c r="AB96" t="s">
        <v>61</v>
      </c>
    </row>
    <row r="97" spans="1:28" x14ac:dyDescent="0.25">
      <c r="A97" s="2">
        <v>46082</v>
      </c>
      <c r="B97" t="s">
        <v>316</v>
      </c>
      <c r="C97" t="s">
        <v>49</v>
      </c>
      <c r="D97" t="s">
        <v>57</v>
      </c>
      <c r="E97" t="s">
        <v>36</v>
      </c>
      <c r="F97" t="s">
        <v>58</v>
      </c>
      <c r="G97" t="s">
        <v>230</v>
      </c>
      <c r="H97">
        <v>1</v>
      </c>
      <c r="I97">
        <v>80</v>
      </c>
      <c r="J97">
        <v>29.5</v>
      </c>
      <c r="K97">
        <v>50.5</v>
      </c>
      <c r="L97">
        <v>580</v>
      </c>
      <c r="M97">
        <v>47</v>
      </c>
      <c r="N97">
        <v>0</v>
      </c>
      <c r="O97" t="s">
        <v>30</v>
      </c>
      <c r="P97" t="s">
        <v>31</v>
      </c>
      <c r="Q97">
        <v>0</v>
      </c>
      <c r="S97" t="s">
        <v>32</v>
      </c>
      <c r="U97">
        <v>0</v>
      </c>
      <c r="W97">
        <v>0</v>
      </c>
      <c r="X97">
        <v>0</v>
      </c>
      <c r="Y97" t="s">
        <v>317</v>
      </c>
      <c r="Z97">
        <v>0</v>
      </c>
      <c r="AB97" t="s">
        <v>61</v>
      </c>
    </row>
    <row r="98" spans="1:28" x14ac:dyDescent="0.25">
      <c r="A98" s="2">
        <v>46082</v>
      </c>
      <c r="B98" t="s">
        <v>318</v>
      </c>
      <c r="C98" t="s">
        <v>49</v>
      </c>
      <c r="D98" t="s">
        <v>57</v>
      </c>
      <c r="E98" t="s">
        <v>36</v>
      </c>
      <c r="F98" t="s">
        <v>58</v>
      </c>
      <c r="G98" t="s">
        <v>230</v>
      </c>
      <c r="H98">
        <v>1</v>
      </c>
      <c r="I98">
        <v>53.8</v>
      </c>
      <c r="J98">
        <v>11.5</v>
      </c>
      <c r="K98">
        <v>42.3</v>
      </c>
      <c r="L98">
        <v>550</v>
      </c>
      <c r="M98">
        <v>47</v>
      </c>
      <c r="N98">
        <v>0</v>
      </c>
      <c r="O98" t="s">
        <v>30</v>
      </c>
      <c r="P98" t="s">
        <v>31</v>
      </c>
      <c r="Q98">
        <v>0</v>
      </c>
      <c r="S98" t="s">
        <v>32</v>
      </c>
      <c r="U98">
        <v>0</v>
      </c>
      <c r="W98">
        <v>0</v>
      </c>
      <c r="X98">
        <v>0</v>
      </c>
      <c r="Y98" t="s">
        <v>319</v>
      </c>
      <c r="Z98">
        <v>0</v>
      </c>
      <c r="AB98" t="s">
        <v>61</v>
      </c>
    </row>
    <row r="99" spans="1:28" x14ac:dyDescent="0.25">
      <c r="A99" s="2">
        <v>46082</v>
      </c>
      <c r="B99" t="s">
        <v>320</v>
      </c>
      <c r="C99" t="s">
        <v>321</v>
      </c>
      <c r="D99" t="s">
        <v>57</v>
      </c>
      <c r="E99" t="s">
        <v>36</v>
      </c>
      <c r="F99" t="s">
        <v>58</v>
      </c>
      <c r="G99" t="s">
        <v>230</v>
      </c>
      <c r="H99">
        <v>1</v>
      </c>
      <c r="I99">
        <v>51.2</v>
      </c>
      <c r="J99">
        <v>6</v>
      </c>
      <c r="K99">
        <v>45.2</v>
      </c>
      <c r="L99">
        <v>550</v>
      </c>
      <c r="M99">
        <v>47</v>
      </c>
      <c r="N99">
        <v>0</v>
      </c>
      <c r="O99" t="s">
        <v>30</v>
      </c>
      <c r="P99" t="s">
        <v>31</v>
      </c>
      <c r="Q99">
        <v>0</v>
      </c>
      <c r="S99" t="s">
        <v>32</v>
      </c>
      <c r="U99">
        <v>0</v>
      </c>
      <c r="W99">
        <v>0</v>
      </c>
      <c r="X99">
        <v>0</v>
      </c>
      <c r="Y99" t="s">
        <v>322</v>
      </c>
      <c r="Z99">
        <v>0</v>
      </c>
      <c r="AB99" t="s">
        <v>61</v>
      </c>
    </row>
    <row r="100" spans="1:28" x14ac:dyDescent="0.25">
      <c r="A100" s="2">
        <v>46082</v>
      </c>
      <c r="B100" t="s">
        <v>323</v>
      </c>
      <c r="C100" t="s">
        <v>49</v>
      </c>
      <c r="D100" t="s">
        <v>57</v>
      </c>
      <c r="E100" t="s">
        <v>36</v>
      </c>
      <c r="F100" t="s">
        <v>58</v>
      </c>
      <c r="G100" t="s">
        <v>230</v>
      </c>
      <c r="H100">
        <v>1</v>
      </c>
      <c r="I100">
        <v>57.8</v>
      </c>
      <c r="J100">
        <v>11</v>
      </c>
      <c r="K100">
        <v>46.8</v>
      </c>
      <c r="L100">
        <v>550</v>
      </c>
      <c r="M100">
        <v>47</v>
      </c>
      <c r="N100">
        <v>0</v>
      </c>
      <c r="O100" t="s">
        <v>30</v>
      </c>
      <c r="P100" t="s">
        <v>31</v>
      </c>
      <c r="Q100">
        <v>0</v>
      </c>
      <c r="S100" t="s">
        <v>32</v>
      </c>
      <c r="U100">
        <v>0</v>
      </c>
      <c r="W100">
        <v>0</v>
      </c>
      <c r="X100">
        <v>0</v>
      </c>
      <c r="Y100" t="s">
        <v>324</v>
      </c>
      <c r="Z100">
        <v>0</v>
      </c>
      <c r="AB100" t="s">
        <v>61</v>
      </c>
    </row>
    <row r="101" spans="1:28" x14ac:dyDescent="0.25">
      <c r="A101" s="2">
        <v>46082</v>
      </c>
      <c r="B101" t="s">
        <v>325</v>
      </c>
      <c r="C101" t="s">
        <v>326</v>
      </c>
      <c r="D101" t="s">
        <v>57</v>
      </c>
      <c r="E101" t="s">
        <v>36</v>
      </c>
      <c r="F101" t="s">
        <v>58</v>
      </c>
      <c r="G101" t="s">
        <v>230</v>
      </c>
      <c r="H101">
        <v>1</v>
      </c>
      <c r="I101">
        <v>38.200000000000003</v>
      </c>
      <c r="J101">
        <v>3.5</v>
      </c>
      <c r="K101">
        <v>34.700000000000003</v>
      </c>
      <c r="L101">
        <v>450</v>
      </c>
      <c r="M101">
        <v>47</v>
      </c>
      <c r="N101">
        <v>0</v>
      </c>
      <c r="O101" t="s">
        <v>30</v>
      </c>
      <c r="P101" t="s">
        <v>31</v>
      </c>
      <c r="Q101">
        <v>0</v>
      </c>
      <c r="S101" t="s">
        <v>32</v>
      </c>
      <c r="U101">
        <v>0</v>
      </c>
      <c r="W101">
        <v>0</v>
      </c>
      <c r="X101">
        <v>0</v>
      </c>
      <c r="Y101" t="s">
        <v>327</v>
      </c>
      <c r="Z101">
        <v>0</v>
      </c>
      <c r="AB101" t="s">
        <v>61</v>
      </c>
    </row>
    <row r="102" spans="1:28" x14ac:dyDescent="0.25">
      <c r="A102" s="2">
        <v>46082</v>
      </c>
      <c r="B102" t="s">
        <v>328</v>
      </c>
      <c r="C102" t="s">
        <v>49</v>
      </c>
      <c r="D102" t="s">
        <v>57</v>
      </c>
      <c r="E102" t="s">
        <v>36</v>
      </c>
      <c r="F102" t="s">
        <v>58</v>
      </c>
      <c r="G102" t="s">
        <v>230</v>
      </c>
      <c r="H102">
        <v>1</v>
      </c>
      <c r="I102">
        <v>31.8</v>
      </c>
      <c r="J102">
        <v>9</v>
      </c>
      <c r="K102">
        <v>22.8</v>
      </c>
      <c r="L102">
        <v>400</v>
      </c>
      <c r="M102">
        <v>47</v>
      </c>
      <c r="N102">
        <v>0</v>
      </c>
      <c r="O102" t="s">
        <v>30</v>
      </c>
      <c r="P102" t="s">
        <v>31</v>
      </c>
      <c r="Q102">
        <v>0</v>
      </c>
      <c r="S102" t="s">
        <v>32</v>
      </c>
      <c r="U102">
        <v>0</v>
      </c>
      <c r="W102">
        <v>0</v>
      </c>
      <c r="X102">
        <v>0</v>
      </c>
      <c r="Y102" t="s">
        <v>329</v>
      </c>
      <c r="Z102">
        <v>0</v>
      </c>
      <c r="AB102" t="s">
        <v>61</v>
      </c>
    </row>
    <row r="103" spans="1:28" x14ac:dyDescent="0.25">
      <c r="A103" s="2">
        <v>46082</v>
      </c>
      <c r="B103" t="s">
        <v>330</v>
      </c>
      <c r="C103" t="s">
        <v>331</v>
      </c>
      <c r="D103" t="s">
        <v>57</v>
      </c>
      <c r="E103" t="s">
        <v>36</v>
      </c>
      <c r="F103" t="s">
        <v>58</v>
      </c>
      <c r="G103" t="s">
        <v>230</v>
      </c>
      <c r="H103">
        <v>1</v>
      </c>
      <c r="I103">
        <v>24.8</v>
      </c>
      <c r="J103">
        <v>0</v>
      </c>
      <c r="K103">
        <v>24.8</v>
      </c>
      <c r="L103">
        <v>420</v>
      </c>
      <c r="M103">
        <v>47</v>
      </c>
      <c r="N103">
        <v>0</v>
      </c>
      <c r="O103" t="s">
        <v>30</v>
      </c>
      <c r="P103" t="s">
        <v>31</v>
      </c>
      <c r="Q103">
        <v>0</v>
      </c>
      <c r="S103" t="s">
        <v>32</v>
      </c>
      <c r="U103">
        <v>0</v>
      </c>
      <c r="W103">
        <v>0</v>
      </c>
      <c r="X103">
        <v>0</v>
      </c>
      <c r="Y103" t="s">
        <v>332</v>
      </c>
      <c r="Z103">
        <v>0</v>
      </c>
      <c r="AB103" t="s">
        <v>61</v>
      </c>
    </row>
    <row r="104" spans="1:28" x14ac:dyDescent="0.25">
      <c r="A104" s="2">
        <v>46082</v>
      </c>
      <c r="B104" t="s">
        <v>333</v>
      </c>
      <c r="C104" t="s">
        <v>40</v>
      </c>
      <c r="D104" t="s">
        <v>57</v>
      </c>
      <c r="E104" t="s">
        <v>36</v>
      </c>
      <c r="F104" t="s">
        <v>58</v>
      </c>
      <c r="G104" t="s">
        <v>230</v>
      </c>
      <c r="H104">
        <v>1</v>
      </c>
      <c r="I104">
        <v>24.8</v>
      </c>
      <c r="J104">
        <v>4</v>
      </c>
      <c r="K104">
        <v>20.8</v>
      </c>
      <c r="L104">
        <v>420</v>
      </c>
      <c r="M104">
        <v>47</v>
      </c>
      <c r="N104">
        <v>0</v>
      </c>
      <c r="O104" t="s">
        <v>30</v>
      </c>
      <c r="P104" t="s">
        <v>31</v>
      </c>
      <c r="Q104">
        <v>0</v>
      </c>
      <c r="S104" t="s">
        <v>32</v>
      </c>
      <c r="U104">
        <v>0</v>
      </c>
      <c r="W104">
        <v>0</v>
      </c>
      <c r="X104">
        <v>0</v>
      </c>
      <c r="Y104" t="s">
        <v>334</v>
      </c>
      <c r="Z104">
        <v>0</v>
      </c>
      <c r="AB104" t="s">
        <v>61</v>
      </c>
    </row>
    <row r="105" spans="1:28" x14ac:dyDescent="0.25">
      <c r="A105" s="2">
        <v>46082</v>
      </c>
      <c r="B105" t="s">
        <v>335</v>
      </c>
      <c r="C105" t="s">
        <v>40</v>
      </c>
      <c r="D105" t="s">
        <v>57</v>
      </c>
      <c r="E105" t="s">
        <v>36</v>
      </c>
      <c r="F105" t="s">
        <v>58</v>
      </c>
      <c r="G105" t="s">
        <v>230</v>
      </c>
      <c r="H105">
        <v>1</v>
      </c>
      <c r="I105">
        <v>34</v>
      </c>
      <c r="J105">
        <v>6</v>
      </c>
      <c r="K105">
        <v>28</v>
      </c>
      <c r="L105">
        <v>450</v>
      </c>
      <c r="M105">
        <v>47</v>
      </c>
      <c r="N105">
        <v>0</v>
      </c>
      <c r="O105" t="s">
        <v>30</v>
      </c>
      <c r="P105" t="s">
        <v>31</v>
      </c>
      <c r="Q105">
        <v>0</v>
      </c>
      <c r="S105" t="s">
        <v>32</v>
      </c>
      <c r="U105">
        <v>0</v>
      </c>
      <c r="W105">
        <v>0</v>
      </c>
      <c r="X105">
        <v>0</v>
      </c>
      <c r="Y105" t="s">
        <v>336</v>
      </c>
      <c r="Z105">
        <v>0</v>
      </c>
      <c r="AB105" t="s">
        <v>61</v>
      </c>
    </row>
    <row r="106" spans="1:28" x14ac:dyDescent="0.25">
      <c r="A106" s="2">
        <v>46082</v>
      </c>
      <c r="B106" t="s">
        <v>337</v>
      </c>
      <c r="C106" t="s">
        <v>35</v>
      </c>
      <c r="D106" t="s">
        <v>57</v>
      </c>
      <c r="E106" t="s">
        <v>36</v>
      </c>
      <c r="F106" t="s">
        <v>58</v>
      </c>
      <c r="G106" t="s">
        <v>230</v>
      </c>
      <c r="H106">
        <v>1</v>
      </c>
      <c r="I106">
        <v>57.8</v>
      </c>
      <c r="J106">
        <v>16</v>
      </c>
      <c r="K106">
        <v>41.8</v>
      </c>
      <c r="L106">
        <v>580</v>
      </c>
      <c r="M106">
        <v>47</v>
      </c>
      <c r="N106">
        <v>0</v>
      </c>
      <c r="O106" t="s">
        <v>30</v>
      </c>
      <c r="P106" t="s">
        <v>31</v>
      </c>
      <c r="Q106">
        <v>0</v>
      </c>
      <c r="S106" t="s">
        <v>32</v>
      </c>
      <c r="U106">
        <v>0</v>
      </c>
      <c r="W106">
        <v>0</v>
      </c>
      <c r="X106">
        <v>0</v>
      </c>
      <c r="Y106" t="s">
        <v>338</v>
      </c>
      <c r="Z106">
        <v>0</v>
      </c>
      <c r="AB106" t="s">
        <v>61</v>
      </c>
    </row>
    <row r="107" spans="1:28" x14ac:dyDescent="0.25">
      <c r="A107" s="2">
        <v>46082</v>
      </c>
      <c r="B107" t="s">
        <v>339</v>
      </c>
      <c r="C107" t="s">
        <v>340</v>
      </c>
      <c r="D107" t="s">
        <v>57</v>
      </c>
      <c r="E107" t="s">
        <v>36</v>
      </c>
      <c r="F107" t="s">
        <v>58</v>
      </c>
      <c r="G107" t="s">
        <v>230</v>
      </c>
      <c r="H107">
        <v>1</v>
      </c>
      <c r="I107">
        <v>51</v>
      </c>
      <c r="J107">
        <v>5</v>
      </c>
      <c r="K107">
        <v>46</v>
      </c>
      <c r="L107">
        <v>580</v>
      </c>
      <c r="M107">
        <v>47</v>
      </c>
      <c r="N107">
        <v>0</v>
      </c>
      <c r="O107" t="s">
        <v>30</v>
      </c>
      <c r="P107" t="s">
        <v>31</v>
      </c>
      <c r="Q107">
        <v>0</v>
      </c>
      <c r="S107" t="s">
        <v>32</v>
      </c>
      <c r="U107">
        <v>0</v>
      </c>
      <c r="W107">
        <v>0</v>
      </c>
      <c r="X107">
        <v>0</v>
      </c>
      <c r="Y107" t="s">
        <v>341</v>
      </c>
      <c r="Z107">
        <v>0</v>
      </c>
      <c r="AB107" t="s">
        <v>61</v>
      </c>
    </row>
    <row r="108" spans="1:28" x14ac:dyDescent="0.25">
      <c r="A108" s="2">
        <v>46082</v>
      </c>
      <c r="B108" t="s">
        <v>342</v>
      </c>
      <c r="C108" t="s">
        <v>343</v>
      </c>
      <c r="D108" t="s">
        <v>57</v>
      </c>
      <c r="E108" t="s">
        <v>36</v>
      </c>
      <c r="F108" t="s">
        <v>58</v>
      </c>
      <c r="G108" t="s">
        <v>240</v>
      </c>
      <c r="H108">
        <v>1</v>
      </c>
      <c r="I108">
        <v>44</v>
      </c>
      <c r="J108">
        <v>2</v>
      </c>
      <c r="K108">
        <v>42</v>
      </c>
      <c r="L108">
        <v>550</v>
      </c>
      <c r="M108">
        <v>32</v>
      </c>
      <c r="N108">
        <v>0</v>
      </c>
      <c r="O108" t="s">
        <v>30</v>
      </c>
      <c r="P108" t="s">
        <v>31</v>
      </c>
      <c r="Q108">
        <v>0</v>
      </c>
      <c r="S108" t="s">
        <v>32</v>
      </c>
      <c r="U108">
        <v>0</v>
      </c>
      <c r="W108">
        <v>0</v>
      </c>
      <c r="X108">
        <v>0</v>
      </c>
      <c r="Y108" t="s">
        <v>344</v>
      </c>
      <c r="Z108">
        <v>0</v>
      </c>
      <c r="AB108" t="s">
        <v>61</v>
      </c>
    </row>
    <row r="109" spans="1:28" x14ac:dyDescent="0.25">
      <c r="A109" s="2">
        <v>46082</v>
      </c>
      <c r="B109" t="s">
        <v>345</v>
      </c>
      <c r="C109" t="s">
        <v>346</v>
      </c>
      <c r="D109" t="s">
        <v>57</v>
      </c>
      <c r="E109" t="s">
        <v>36</v>
      </c>
      <c r="F109" t="s">
        <v>58</v>
      </c>
      <c r="G109" t="s">
        <v>240</v>
      </c>
      <c r="H109">
        <v>1</v>
      </c>
      <c r="I109">
        <v>79.400000000000006</v>
      </c>
      <c r="J109">
        <v>15</v>
      </c>
      <c r="K109">
        <v>64.400000000000006</v>
      </c>
      <c r="L109">
        <v>620</v>
      </c>
      <c r="M109">
        <v>32</v>
      </c>
      <c r="N109">
        <v>0</v>
      </c>
      <c r="O109" t="s">
        <v>30</v>
      </c>
      <c r="P109" t="s">
        <v>31</v>
      </c>
      <c r="Q109">
        <v>0</v>
      </c>
      <c r="S109" t="s">
        <v>32</v>
      </c>
      <c r="U109">
        <v>0</v>
      </c>
      <c r="W109">
        <v>0</v>
      </c>
      <c r="X109">
        <v>0</v>
      </c>
      <c r="Y109" t="s">
        <v>347</v>
      </c>
      <c r="Z109">
        <v>0</v>
      </c>
      <c r="AB109" t="s">
        <v>61</v>
      </c>
    </row>
    <row r="110" spans="1:28" x14ac:dyDescent="0.25">
      <c r="A110" s="2">
        <v>46082</v>
      </c>
      <c r="B110" t="s">
        <v>348</v>
      </c>
      <c r="C110" t="s">
        <v>34</v>
      </c>
      <c r="D110" t="s">
        <v>57</v>
      </c>
      <c r="E110" t="s">
        <v>36</v>
      </c>
      <c r="F110" t="s">
        <v>58</v>
      </c>
      <c r="G110" t="s">
        <v>240</v>
      </c>
      <c r="H110">
        <v>1</v>
      </c>
      <c r="I110">
        <v>40.6</v>
      </c>
      <c r="J110">
        <v>8.5</v>
      </c>
      <c r="K110">
        <v>32.1</v>
      </c>
      <c r="L110">
        <v>500</v>
      </c>
      <c r="M110">
        <v>32</v>
      </c>
      <c r="N110">
        <v>0</v>
      </c>
      <c r="O110" t="s">
        <v>30</v>
      </c>
      <c r="P110" t="s">
        <v>31</v>
      </c>
      <c r="Q110">
        <v>0</v>
      </c>
      <c r="S110" t="s">
        <v>32</v>
      </c>
      <c r="U110">
        <v>0</v>
      </c>
      <c r="W110">
        <v>0</v>
      </c>
      <c r="X110">
        <v>0</v>
      </c>
      <c r="Y110" t="s">
        <v>349</v>
      </c>
      <c r="Z110">
        <v>0</v>
      </c>
      <c r="AB110" t="s">
        <v>61</v>
      </c>
    </row>
    <row r="111" spans="1:28" x14ac:dyDescent="0.25">
      <c r="A111" s="2">
        <v>46082</v>
      </c>
      <c r="B111" t="s">
        <v>350</v>
      </c>
      <c r="C111" t="s">
        <v>351</v>
      </c>
      <c r="D111" t="s">
        <v>57</v>
      </c>
      <c r="E111" t="s">
        <v>36</v>
      </c>
      <c r="F111" t="s">
        <v>58</v>
      </c>
      <c r="G111" t="s">
        <v>240</v>
      </c>
      <c r="H111">
        <v>1</v>
      </c>
      <c r="I111">
        <v>25.6</v>
      </c>
      <c r="J111">
        <v>4</v>
      </c>
      <c r="K111">
        <v>21.6</v>
      </c>
      <c r="L111">
        <v>400</v>
      </c>
      <c r="M111">
        <v>32</v>
      </c>
      <c r="N111">
        <v>0</v>
      </c>
      <c r="O111" t="s">
        <v>30</v>
      </c>
      <c r="P111" t="s">
        <v>31</v>
      </c>
      <c r="Q111">
        <v>0</v>
      </c>
      <c r="S111" t="s">
        <v>32</v>
      </c>
      <c r="U111">
        <v>0</v>
      </c>
      <c r="W111">
        <v>0</v>
      </c>
      <c r="X111">
        <v>0</v>
      </c>
      <c r="Y111" t="s">
        <v>352</v>
      </c>
      <c r="Z111">
        <v>0</v>
      </c>
      <c r="AB111" t="s">
        <v>61</v>
      </c>
    </row>
    <row r="112" spans="1:28" x14ac:dyDescent="0.25">
      <c r="A112" s="2">
        <v>46082</v>
      </c>
      <c r="B112" t="s">
        <v>353</v>
      </c>
      <c r="C112" t="s">
        <v>246</v>
      </c>
      <c r="D112" t="s">
        <v>57</v>
      </c>
      <c r="E112" t="s">
        <v>36</v>
      </c>
      <c r="F112" t="s">
        <v>58</v>
      </c>
      <c r="G112" t="s">
        <v>240</v>
      </c>
      <c r="H112">
        <v>1</v>
      </c>
      <c r="I112">
        <v>10.8</v>
      </c>
      <c r="J112">
        <v>2</v>
      </c>
      <c r="K112">
        <v>8.8000000000000007</v>
      </c>
      <c r="L112">
        <v>330</v>
      </c>
      <c r="M112">
        <v>32</v>
      </c>
      <c r="N112">
        <v>0</v>
      </c>
      <c r="O112" t="s">
        <v>30</v>
      </c>
      <c r="P112" t="s">
        <v>31</v>
      </c>
      <c r="Q112">
        <v>0</v>
      </c>
      <c r="S112" t="s">
        <v>32</v>
      </c>
      <c r="U112">
        <v>0</v>
      </c>
      <c r="W112">
        <v>0</v>
      </c>
      <c r="X112">
        <v>0</v>
      </c>
      <c r="Y112" t="s">
        <v>354</v>
      </c>
      <c r="Z112">
        <v>0</v>
      </c>
      <c r="AB112" t="s">
        <v>61</v>
      </c>
    </row>
    <row r="113" spans="1:28" x14ac:dyDescent="0.25">
      <c r="A113" s="2">
        <v>46082</v>
      </c>
      <c r="B113" t="s">
        <v>355</v>
      </c>
      <c r="C113" t="s">
        <v>246</v>
      </c>
      <c r="D113" t="s">
        <v>57</v>
      </c>
      <c r="E113" t="s">
        <v>36</v>
      </c>
      <c r="F113" t="s">
        <v>58</v>
      </c>
      <c r="G113" t="s">
        <v>240</v>
      </c>
      <c r="H113">
        <v>1</v>
      </c>
      <c r="I113">
        <v>11.2</v>
      </c>
      <c r="J113">
        <v>2</v>
      </c>
      <c r="K113">
        <v>9.1999999999999993</v>
      </c>
      <c r="L113">
        <v>330</v>
      </c>
      <c r="M113">
        <v>32</v>
      </c>
      <c r="N113">
        <v>0</v>
      </c>
      <c r="O113" t="s">
        <v>30</v>
      </c>
      <c r="P113" t="s">
        <v>31</v>
      </c>
      <c r="Q113">
        <v>0</v>
      </c>
      <c r="S113" t="s">
        <v>32</v>
      </c>
      <c r="U113">
        <v>0</v>
      </c>
      <c r="W113">
        <v>0</v>
      </c>
      <c r="X113">
        <v>0</v>
      </c>
      <c r="Y113" t="s">
        <v>356</v>
      </c>
      <c r="Z113">
        <v>0</v>
      </c>
      <c r="AB113" t="s">
        <v>61</v>
      </c>
    </row>
    <row r="114" spans="1:28" x14ac:dyDescent="0.25">
      <c r="A114" s="2">
        <v>46082</v>
      </c>
      <c r="B114" t="s">
        <v>357</v>
      </c>
      <c r="C114" t="s">
        <v>49</v>
      </c>
      <c r="D114" t="s">
        <v>57</v>
      </c>
      <c r="E114" t="s">
        <v>36</v>
      </c>
      <c r="F114" t="s">
        <v>58</v>
      </c>
      <c r="G114" t="s">
        <v>230</v>
      </c>
      <c r="H114">
        <v>1</v>
      </c>
      <c r="I114">
        <v>48</v>
      </c>
      <c r="J114">
        <v>13</v>
      </c>
      <c r="K114">
        <v>35</v>
      </c>
      <c r="L114">
        <v>400</v>
      </c>
      <c r="M114">
        <v>47</v>
      </c>
      <c r="N114">
        <v>0</v>
      </c>
      <c r="O114" t="s">
        <v>30</v>
      </c>
      <c r="P114" t="s">
        <v>31</v>
      </c>
      <c r="Q114">
        <v>0</v>
      </c>
      <c r="S114" t="s">
        <v>32</v>
      </c>
      <c r="U114">
        <v>0</v>
      </c>
      <c r="W114">
        <v>0</v>
      </c>
      <c r="X114">
        <v>0</v>
      </c>
      <c r="Y114" t="s">
        <v>358</v>
      </c>
      <c r="Z114">
        <v>0</v>
      </c>
      <c r="AB114" t="s">
        <v>61</v>
      </c>
    </row>
    <row r="115" spans="1:28" x14ac:dyDescent="0.25">
      <c r="A115" s="2">
        <v>46082</v>
      </c>
      <c r="B115" t="s">
        <v>359</v>
      </c>
      <c r="C115" t="s">
        <v>46</v>
      </c>
      <c r="D115" t="s">
        <v>57</v>
      </c>
      <c r="E115" t="s">
        <v>36</v>
      </c>
      <c r="F115" t="s">
        <v>58</v>
      </c>
      <c r="G115" t="s">
        <v>240</v>
      </c>
      <c r="H115">
        <v>1</v>
      </c>
      <c r="I115">
        <v>32.200000000000003</v>
      </c>
      <c r="J115">
        <v>9</v>
      </c>
      <c r="K115">
        <v>23.2</v>
      </c>
      <c r="L115">
        <v>530</v>
      </c>
      <c r="M115">
        <v>32</v>
      </c>
      <c r="N115">
        <v>0</v>
      </c>
      <c r="O115" t="s">
        <v>30</v>
      </c>
      <c r="P115" t="s">
        <v>31</v>
      </c>
      <c r="Q115">
        <v>0</v>
      </c>
      <c r="S115" t="s">
        <v>32</v>
      </c>
      <c r="U115">
        <v>0</v>
      </c>
      <c r="W115">
        <v>0</v>
      </c>
      <c r="X115">
        <v>0</v>
      </c>
      <c r="Y115" t="s">
        <v>360</v>
      </c>
      <c r="Z115">
        <v>0</v>
      </c>
      <c r="AB115" t="s">
        <v>61</v>
      </c>
    </row>
    <row r="116" spans="1:28" x14ac:dyDescent="0.25">
      <c r="A116" s="2">
        <v>46082</v>
      </c>
      <c r="B116" t="s">
        <v>361</v>
      </c>
      <c r="C116" t="s">
        <v>46</v>
      </c>
      <c r="D116" t="s">
        <v>57</v>
      </c>
      <c r="E116" t="s">
        <v>36</v>
      </c>
      <c r="F116" t="s">
        <v>58</v>
      </c>
      <c r="G116" t="s">
        <v>240</v>
      </c>
      <c r="H116">
        <v>1</v>
      </c>
      <c r="I116">
        <v>26</v>
      </c>
      <c r="J116">
        <v>8</v>
      </c>
      <c r="K116">
        <v>18</v>
      </c>
      <c r="L116">
        <v>530</v>
      </c>
      <c r="M116">
        <v>32</v>
      </c>
      <c r="N116">
        <v>0</v>
      </c>
      <c r="O116" t="s">
        <v>30</v>
      </c>
      <c r="P116" t="s">
        <v>31</v>
      </c>
      <c r="Q116">
        <v>0</v>
      </c>
      <c r="S116" t="s">
        <v>32</v>
      </c>
      <c r="U116">
        <v>0</v>
      </c>
      <c r="W116">
        <v>0</v>
      </c>
      <c r="X116">
        <v>0</v>
      </c>
      <c r="Y116" t="s">
        <v>362</v>
      </c>
      <c r="Z116">
        <v>0</v>
      </c>
      <c r="AB116" t="s">
        <v>61</v>
      </c>
    </row>
    <row r="117" spans="1:28" x14ac:dyDescent="0.25">
      <c r="A117" s="2">
        <v>46082</v>
      </c>
      <c r="B117" t="s">
        <v>363</v>
      </c>
      <c r="C117" t="s">
        <v>364</v>
      </c>
      <c r="D117" t="s">
        <v>57</v>
      </c>
      <c r="E117" t="s">
        <v>33</v>
      </c>
      <c r="F117" t="s">
        <v>58</v>
      </c>
      <c r="G117" t="s">
        <v>250</v>
      </c>
      <c r="H117">
        <v>1</v>
      </c>
      <c r="I117">
        <v>39.200000000000003</v>
      </c>
      <c r="J117">
        <v>2</v>
      </c>
      <c r="K117">
        <v>37.200000000000003</v>
      </c>
      <c r="L117">
        <v>460</v>
      </c>
      <c r="M117">
        <v>58</v>
      </c>
      <c r="N117">
        <v>0</v>
      </c>
      <c r="O117" t="s">
        <v>251</v>
      </c>
      <c r="P117" t="s">
        <v>31</v>
      </c>
      <c r="Q117">
        <v>0</v>
      </c>
      <c r="S117" t="s">
        <v>32</v>
      </c>
      <c r="U117">
        <v>0</v>
      </c>
      <c r="W117">
        <v>0</v>
      </c>
      <c r="X117">
        <v>0</v>
      </c>
      <c r="Y117" t="s">
        <v>365</v>
      </c>
      <c r="Z117">
        <v>0</v>
      </c>
      <c r="AB117" t="s">
        <v>61</v>
      </c>
    </row>
    <row r="118" spans="1:28" x14ac:dyDescent="0.25">
      <c r="A118" s="2">
        <v>46082</v>
      </c>
      <c r="B118" t="s">
        <v>366</v>
      </c>
      <c r="C118" t="s">
        <v>367</v>
      </c>
      <c r="D118" t="s">
        <v>57</v>
      </c>
      <c r="E118" t="s">
        <v>33</v>
      </c>
      <c r="F118" t="s">
        <v>58</v>
      </c>
      <c r="G118" t="s">
        <v>250</v>
      </c>
      <c r="H118">
        <v>1</v>
      </c>
      <c r="I118">
        <v>46.6</v>
      </c>
      <c r="J118">
        <v>0.5</v>
      </c>
      <c r="K118">
        <v>46.1</v>
      </c>
      <c r="L118">
        <v>420</v>
      </c>
      <c r="M118">
        <v>58</v>
      </c>
      <c r="N118">
        <v>0</v>
      </c>
      <c r="O118" t="s">
        <v>251</v>
      </c>
      <c r="P118" t="s">
        <v>31</v>
      </c>
      <c r="Q118">
        <v>0</v>
      </c>
      <c r="S118" t="s">
        <v>32</v>
      </c>
      <c r="U118">
        <v>0</v>
      </c>
      <c r="W118">
        <v>0</v>
      </c>
      <c r="X118">
        <v>0</v>
      </c>
      <c r="Y118" t="s">
        <v>368</v>
      </c>
      <c r="Z118">
        <v>0</v>
      </c>
      <c r="AB118" t="s">
        <v>61</v>
      </c>
    </row>
    <row r="119" spans="1:28" x14ac:dyDescent="0.25">
      <c r="A119" s="2">
        <v>46082</v>
      </c>
      <c r="B119" t="s">
        <v>369</v>
      </c>
      <c r="C119" t="s">
        <v>47</v>
      </c>
      <c r="D119" t="s">
        <v>57</v>
      </c>
      <c r="E119" t="s">
        <v>33</v>
      </c>
      <c r="F119" t="s">
        <v>58</v>
      </c>
      <c r="G119" t="s">
        <v>250</v>
      </c>
      <c r="H119">
        <v>1</v>
      </c>
      <c r="I119">
        <v>66.8</v>
      </c>
      <c r="J119">
        <v>10</v>
      </c>
      <c r="K119">
        <v>56.8</v>
      </c>
      <c r="L119">
        <v>520</v>
      </c>
      <c r="M119">
        <v>58</v>
      </c>
      <c r="N119">
        <v>0</v>
      </c>
      <c r="O119" t="s">
        <v>251</v>
      </c>
      <c r="P119" t="s">
        <v>31</v>
      </c>
      <c r="Q119">
        <v>0</v>
      </c>
      <c r="S119" t="s">
        <v>32</v>
      </c>
      <c r="U119">
        <v>0</v>
      </c>
      <c r="W119">
        <v>0</v>
      </c>
      <c r="X119">
        <v>0</v>
      </c>
      <c r="Y119" t="s">
        <v>370</v>
      </c>
      <c r="Z119">
        <v>0</v>
      </c>
      <c r="AB119" t="s">
        <v>61</v>
      </c>
    </row>
    <row r="120" spans="1:28" x14ac:dyDescent="0.25">
      <c r="A120" s="2">
        <v>46082</v>
      </c>
      <c r="B120" t="s">
        <v>371</v>
      </c>
      <c r="C120" t="s">
        <v>372</v>
      </c>
      <c r="D120" t="s">
        <v>57</v>
      </c>
      <c r="E120" t="s">
        <v>33</v>
      </c>
      <c r="F120" t="s">
        <v>58</v>
      </c>
      <c r="G120" t="s">
        <v>250</v>
      </c>
      <c r="H120">
        <v>1</v>
      </c>
      <c r="I120">
        <v>78.2</v>
      </c>
      <c r="J120">
        <v>10</v>
      </c>
      <c r="K120">
        <v>68.2</v>
      </c>
      <c r="L120">
        <v>670</v>
      </c>
      <c r="M120">
        <v>58</v>
      </c>
      <c r="N120">
        <v>0</v>
      </c>
      <c r="O120" t="s">
        <v>251</v>
      </c>
      <c r="P120" t="s">
        <v>31</v>
      </c>
      <c r="Q120">
        <v>0</v>
      </c>
      <c r="S120" t="s">
        <v>32</v>
      </c>
      <c r="U120">
        <v>0</v>
      </c>
      <c r="W120">
        <v>0</v>
      </c>
      <c r="X120">
        <v>0</v>
      </c>
      <c r="Y120" t="s">
        <v>373</v>
      </c>
      <c r="Z120">
        <v>0</v>
      </c>
      <c r="AB120" t="s">
        <v>61</v>
      </c>
    </row>
    <row r="121" spans="1:28" x14ac:dyDescent="0.25">
      <c r="A121" s="2">
        <v>46082</v>
      </c>
      <c r="B121" t="s">
        <v>374</v>
      </c>
      <c r="C121" t="s">
        <v>375</v>
      </c>
      <c r="D121" t="s">
        <v>57</v>
      </c>
      <c r="E121" t="s">
        <v>33</v>
      </c>
      <c r="F121" t="s">
        <v>58</v>
      </c>
      <c r="G121" t="s">
        <v>240</v>
      </c>
      <c r="H121">
        <v>1</v>
      </c>
      <c r="I121">
        <v>24.4</v>
      </c>
      <c r="J121">
        <v>3.5</v>
      </c>
      <c r="K121">
        <v>20.9</v>
      </c>
      <c r="L121">
        <v>350</v>
      </c>
      <c r="M121">
        <v>32</v>
      </c>
      <c r="N121">
        <v>0</v>
      </c>
      <c r="O121" t="s">
        <v>30</v>
      </c>
      <c r="P121" t="s">
        <v>31</v>
      </c>
      <c r="Q121">
        <v>0</v>
      </c>
      <c r="S121" t="s">
        <v>32</v>
      </c>
      <c r="U121">
        <v>0</v>
      </c>
      <c r="W121">
        <v>0</v>
      </c>
      <c r="X121">
        <v>0</v>
      </c>
      <c r="Y121" t="s">
        <v>376</v>
      </c>
      <c r="Z121">
        <v>0</v>
      </c>
      <c r="AB121" t="s">
        <v>61</v>
      </c>
    </row>
    <row r="122" spans="1:28" x14ac:dyDescent="0.25">
      <c r="A122" s="2">
        <v>46082</v>
      </c>
      <c r="B122" t="s">
        <v>377</v>
      </c>
      <c r="C122" t="s">
        <v>49</v>
      </c>
      <c r="D122" t="s">
        <v>57</v>
      </c>
      <c r="E122" t="s">
        <v>33</v>
      </c>
      <c r="F122" t="s">
        <v>58</v>
      </c>
      <c r="G122" t="s">
        <v>230</v>
      </c>
      <c r="H122">
        <v>1</v>
      </c>
      <c r="I122">
        <v>42</v>
      </c>
      <c r="J122">
        <v>12</v>
      </c>
      <c r="K122">
        <v>30</v>
      </c>
      <c r="L122">
        <v>450</v>
      </c>
      <c r="M122">
        <v>47</v>
      </c>
      <c r="N122">
        <v>0</v>
      </c>
      <c r="O122" t="s">
        <v>30</v>
      </c>
      <c r="P122" t="s">
        <v>31</v>
      </c>
      <c r="Q122">
        <v>0</v>
      </c>
      <c r="S122" t="s">
        <v>32</v>
      </c>
      <c r="U122">
        <v>0</v>
      </c>
      <c r="W122">
        <v>0</v>
      </c>
      <c r="X122">
        <v>0</v>
      </c>
      <c r="Y122" t="s">
        <v>378</v>
      </c>
      <c r="Z122">
        <v>0</v>
      </c>
      <c r="AB122" t="s">
        <v>61</v>
      </c>
    </row>
    <row r="123" spans="1:28" x14ac:dyDescent="0.25">
      <c r="A123" s="2">
        <v>46082</v>
      </c>
      <c r="B123" t="s">
        <v>379</v>
      </c>
      <c r="C123" t="s">
        <v>41</v>
      </c>
      <c r="D123" t="s">
        <v>57</v>
      </c>
      <c r="E123" t="s">
        <v>33</v>
      </c>
      <c r="F123" t="s">
        <v>58</v>
      </c>
      <c r="G123" t="s">
        <v>230</v>
      </c>
      <c r="H123">
        <v>1</v>
      </c>
      <c r="I123">
        <v>77</v>
      </c>
      <c r="J123">
        <v>14</v>
      </c>
      <c r="K123">
        <v>63</v>
      </c>
      <c r="L123">
        <v>650</v>
      </c>
      <c r="M123">
        <v>47</v>
      </c>
      <c r="N123">
        <v>0</v>
      </c>
      <c r="O123" t="s">
        <v>30</v>
      </c>
      <c r="P123" t="s">
        <v>31</v>
      </c>
      <c r="Q123">
        <v>0</v>
      </c>
      <c r="S123" t="s">
        <v>32</v>
      </c>
      <c r="U123">
        <v>0</v>
      </c>
      <c r="W123">
        <v>0</v>
      </c>
      <c r="X123">
        <v>0</v>
      </c>
      <c r="Y123" t="s">
        <v>380</v>
      </c>
      <c r="Z123">
        <v>0</v>
      </c>
      <c r="AB123" t="s">
        <v>61</v>
      </c>
    </row>
    <row r="124" spans="1:28" x14ac:dyDescent="0.25">
      <c r="A124" s="2">
        <v>46082</v>
      </c>
      <c r="B124" t="s">
        <v>381</v>
      </c>
      <c r="C124" t="s">
        <v>41</v>
      </c>
      <c r="D124" t="s">
        <v>57</v>
      </c>
      <c r="E124" t="s">
        <v>38</v>
      </c>
      <c r="F124" t="s">
        <v>58</v>
      </c>
      <c r="G124" t="s">
        <v>230</v>
      </c>
      <c r="H124">
        <v>1</v>
      </c>
      <c r="I124">
        <v>50.2</v>
      </c>
      <c r="J124">
        <v>11.5</v>
      </c>
      <c r="K124">
        <v>38.700000000000003</v>
      </c>
      <c r="L124">
        <v>450</v>
      </c>
      <c r="M124">
        <v>47</v>
      </c>
      <c r="N124">
        <v>0</v>
      </c>
      <c r="O124" t="s">
        <v>30</v>
      </c>
      <c r="P124" t="s">
        <v>31</v>
      </c>
      <c r="Q124">
        <v>0</v>
      </c>
      <c r="S124" t="s">
        <v>32</v>
      </c>
      <c r="U124">
        <v>0</v>
      </c>
      <c r="W124">
        <v>0</v>
      </c>
      <c r="X124">
        <v>0</v>
      </c>
      <c r="Y124" t="s">
        <v>382</v>
      </c>
      <c r="Z124">
        <v>0</v>
      </c>
      <c r="AB124" t="s">
        <v>61</v>
      </c>
    </row>
    <row r="125" spans="1:28" x14ac:dyDescent="0.25">
      <c r="A125" s="2">
        <v>46082</v>
      </c>
      <c r="B125" t="s">
        <v>383</v>
      </c>
      <c r="C125" t="s">
        <v>384</v>
      </c>
      <c r="D125" t="s">
        <v>57</v>
      </c>
      <c r="E125" t="s">
        <v>38</v>
      </c>
      <c r="F125" t="s">
        <v>58</v>
      </c>
      <c r="G125" t="s">
        <v>230</v>
      </c>
      <c r="H125">
        <v>1</v>
      </c>
      <c r="I125">
        <v>28</v>
      </c>
      <c r="J125">
        <v>0</v>
      </c>
      <c r="K125">
        <v>28</v>
      </c>
      <c r="L125">
        <v>380</v>
      </c>
      <c r="M125">
        <v>47</v>
      </c>
      <c r="N125">
        <v>0</v>
      </c>
      <c r="O125" t="s">
        <v>30</v>
      </c>
      <c r="P125" t="s">
        <v>31</v>
      </c>
      <c r="Q125">
        <v>0</v>
      </c>
      <c r="S125" t="s">
        <v>32</v>
      </c>
      <c r="U125">
        <v>0</v>
      </c>
      <c r="W125">
        <v>0</v>
      </c>
      <c r="X125">
        <v>0</v>
      </c>
      <c r="Y125" t="s">
        <v>385</v>
      </c>
      <c r="Z125">
        <v>0</v>
      </c>
      <c r="AB125" t="s">
        <v>61</v>
      </c>
    </row>
    <row r="126" spans="1:28" x14ac:dyDescent="0.25">
      <c r="A126" s="2">
        <v>46082</v>
      </c>
      <c r="B126" t="s">
        <v>386</v>
      </c>
      <c r="C126" t="s">
        <v>387</v>
      </c>
      <c r="D126" t="s">
        <v>57</v>
      </c>
      <c r="E126" t="s">
        <v>38</v>
      </c>
      <c r="F126" t="s">
        <v>58</v>
      </c>
      <c r="G126" t="s">
        <v>230</v>
      </c>
      <c r="H126">
        <v>1</v>
      </c>
      <c r="I126">
        <v>25.6</v>
      </c>
      <c r="J126">
        <v>0</v>
      </c>
      <c r="K126">
        <v>25.6</v>
      </c>
      <c r="L126">
        <v>380</v>
      </c>
      <c r="M126">
        <v>47</v>
      </c>
      <c r="N126">
        <v>0</v>
      </c>
      <c r="O126" t="s">
        <v>30</v>
      </c>
      <c r="P126" t="s">
        <v>31</v>
      </c>
      <c r="Q126">
        <v>0</v>
      </c>
      <c r="S126" t="s">
        <v>32</v>
      </c>
      <c r="U126">
        <v>0</v>
      </c>
      <c r="W126">
        <v>0</v>
      </c>
      <c r="X126">
        <v>0</v>
      </c>
      <c r="Y126" t="s">
        <v>388</v>
      </c>
      <c r="Z126">
        <v>0</v>
      </c>
      <c r="AB126" t="s">
        <v>61</v>
      </c>
    </row>
    <row r="127" spans="1:28" x14ac:dyDescent="0.25">
      <c r="A127" s="2">
        <v>46082</v>
      </c>
      <c r="B127" t="s">
        <v>389</v>
      </c>
      <c r="C127" t="s">
        <v>390</v>
      </c>
      <c r="D127" t="s">
        <v>57</v>
      </c>
      <c r="E127" t="s">
        <v>38</v>
      </c>
      <c r="F127" t="s">
        <v>58</v>
      </c>
      <c r="G127" t="s">
        <v>230</v>
      </c>
      <c r="H127">
        <v>1</v>
      </c>
      <c r="I127">
        <v>24</v>
      </c>
      <c r="J127">
        <v>0.5</v>
      </c>
      <c r="K127">
        <v>23.5</v>
      </c>
      <c r="L127">
        <v>360</v>
      </c>
      <c r="M127">
        <v>47</v>
      </c>
      <c r="N127">
        <v>0</v>
      </c>
      <c r="O127" t="s">
        <v>30</v>
      </c>
      <c r="P127" t="s">
        <v>31</v>
      </c>
      <c r="Q127">
        <v>0</v>
      </c>
      <c r="S127" t="s">
        <v>32</v>
      </c>
      <c r="U127">
        <v>0</v>
      </c>
      <c r="W127">
        <v>0</v>
      </c>
      <c r="X127">
        <v>0</v>
      </c>
      <c r="Y127" t="s">
        <v>391</v>
      </c>
      <c r="Z127">
        <v>0</v>
      </c>
      <c r="AB127" t="s">
        <v>61</v>
      </c>
    </row>
    <row r="128" spans="1:28" x14ac:dyDescent="0.25">
      <c r="A128" s="2">
        <v>46082</v>
      </c>
      <c r="B128" t="s">
        <v>392</v>
      </c>
      <c r="C128" t="s">
        <v>390</v>
      </c>
      <c r="D128" t="s">
        <v>57</v>
      </c>
      <c r="E128" t="s">
        <v>38</v>
      </c>
      <c r="F128" t="s">
        <v>58</v>
      </c>
      <c r="G128" t="s">
        <v>230</v>
      </c>
      <c r="H128">
        <v>1</v>
      </c>
      <c r="I128">
        <v>23.6</v>
      </c>
      <c r="J128">
        <v>0.5</v>
      </c>
      <c r="K128">
        <v>23.1</v>
      </c>
      <c r="L128">
        <v>360</v>
      </c>
      <c r="M128">
        <v>47</v>
      </c>
      <c r="N128">
        <v>0</v>
      </c>
      <c r="O128" t="s">
        <v>30</v>
      </c>
      <c r="P128" t="s">
        <v>31</v>
      </c>
      <c r="Q128">
        <v>0</v>
      </c>
      <c r="S128" t="s">
        <v>32</v>
      </c>
      <c r="U128">
        <v>0</v>
      </c>
      <c r="W128">
        <v>0</v>
      </c>
      <c r="X128">
        <v>0</v>
      </c>
      <c r="Y128" t="s">
        <v>393</v>
      </c>
      <c r="Z128">
        <v>0</v>
      </c>
      <c r="AB128" t="s">
        <v>61</v>
      </c>
    </row>
    <row r="129" spans="1:28" x14ac:dyDescent="0.25">
      <c r="A129" s="2">
        <v>46082</v>
      </c>
      <c r="B129" t="s">
        <v>394</v>
      </c>
      <c r="C129" t="s">
        <v>390</v>
      </c>
      <c r="D129" t="s">
        <v>57</v>
      </c>
      <c r="E129" t="s">
        <v>38</v>
      </c>
      <c r="F129" t="s">
        <v>58</v>
      </c>
      <c r="G129" t="s">
        <v>230</v>
      </c>
      <c r="H129">
        <v>1</v>
      </c>
      <c r="I129">
        <v>24.2</v>
      </c>
      <c r="J129">
        <v>0.5</v>
      </c>
      <c r="K129">
        <v>23.7</v>
      </c>
      <c r="L129">
        <v>360</v>
      </c>
      <c r="M129">
        <v>47</v>
      </c>
      <c r="N129">
        <v>0</v>
      </c>
      <c r="O129" t="s">
        <v>30</v>
      </c>
      <c r="P129" t="s">
        <v>31</v>
      </c>
      <c r="Q129">
        <v>0</v>
      </c>
      <c r="S129" t="s">
        <v>32</v>
      </c>
      <c r="U129">
        <v>0</v>
      </c>
      <c r="W129">
        <v>0</v>
      </c>
      <c r="X129">
        <v>0</v>
      </c>
      <c r="Y129" t="s">
        <v>395</v>
      </c>
      <c r="Z129">
        <v>0</v>
      </c>
      <c r="AB129" t="s">
        <v>61</v>
      </c>
    </row>
    <row r="130" spans="1:28" x14ac:dyDescent="0.25">
      <c r="A130" s="2">
        <v>46082</v>
      </c>
      <c r="B130" t="s">
        <v>396</v>
      </c>
      <c r="C130" t="s">
        <v>397</v>
      </c>
      <c r="D130" t="s">
        <v>57</v>
      </c>
      <c r="E130" t="s">
        <v>38</v>
      </c>
      <c r="F130" t="s">
        <v>58</v>
      </c>
      <c r="G130" t="s">
        <v>240</v>
      </c>
      <c r="H130">
        <v>1</v>
      </c>
      <c r="I130">
        <v>27.6</v>
      </c>
      <c r="J130">
        <v>0</v>
      </c>
      <c r="K130">
        <v>27.6</v>
      </c>
      <c r="L130">
        <v>390</v>
      </c>
      <c r="M130">
        <v>32</v>
      </c>
      <c r="N130">
        <v>0</v>
      </c>
      <c r="O130" t="s">
        <v>30</v>
      </c>
      <c r="P130" t="s">
        <v>31</v>
      </c>
      <c r="Q130">
        <v>0</v>
      </c>
      <c r="S130" t="s">
        <v>32</v>
      </c>
      <c r="U130">
        <v>0</v>
      </c>
      <c r="W130">
        <v>0</v>
      </c>
      <c r="X130">
        <v>0</v>
      </c>
      <c r="Y130" t="s">
        <v>398</v>
      </c>
      <c r="Z130">
        <v>0</v>
      </c>
      <c r="AB130" t="s">
        <v>61</v>
      </c>
    </row>
    <row r="131" spans="1:28" x14ac:dyDescent="0.25">
      <c r="A131" s="2">
        <v>46082</v>
      </c>
      <c r="B131" t="s">
        <v>399</v>
      </c>
      <c r="C131" t="s">
        <v>397</v>
      </c>
      <c r="D131" t="s">
        <v>57</v>
      </c>
      <c r="E131" t="s">
        <v>38</v>
      </c>
      <c r="F131" t="s">
        <v>58</v>
      </c>
      <c r="G131" t="s">
        <v>240</v>
      </c>
      <c r="H131">
        <v>1</v>
      </c>
      <c r="I131">
        <v>25.8</v>
      </c>
      <c r="J131">
        <v>0</v>
      </c>
      <c r="K131">
        <v>25.8</v>
      </c>
      <c r="L131">
        <v>390</v>
      </c>
      <c r="M131">
        <v>32</v>
      </c>
      <c r="N131">
        <v>0</v>
      </c>
      <c r="O131" t="s">
        <v>30</v>
      </c>
      <c r="P131" t="s">
        <v>31</v>
      </c>
      <c r="Q131">
        <v>0</v>
      </c>
      <c r="S131" t="s">
        <v>32</v>
      </c>
      <c r="U131">
        <v>0</v>
      </c>
      <c r="W131">
        <v>0</v>
      </c>
      <c r="X131">
        <v>0</v>
      </c>
      <c r="Y131" t="s">
        <v>400</v>
      </c>
      <c r="Z131">
        <v>0</v>
      </c>
      <c r="AB131" t="s">
        <v>61</v>
      </c>
    </row>
    <row r="132" spans="1:28" x14ac:dyDescent="0.25">
      <c r="A132" s="2">
        <v>46082</v>
      </c>
      <c r="B132" t="s">
        <v>401</v>
      </c>
      <c r="C132" t="s">
        <v>402</v>
      </c>
      <c r="D132" t="s">
        <v>57</v>
      </c>
      <c r="E132" t="s">
        <v>38</v>
      </c>
      <c r="F132" t="s">
        <v>58</v>
      </c>
      <c r="G132" t="s">
        <v>240</v>
      </c>
      <c r="H132">
        <v>1</v>
      </c>
      <c r="I132">
        <v>28</v>
      </c>
      <c r="J132">
        <v>4</v>
      </c>
      <c r="K132">
        <v>24</v>
      </c>
      <c r="L132">
        <v>360</v>
      </c>
      <c r="M132">
        <v>32</v>
      </c>
      <c r="N132">
        <v>0</v>
      </c>
      <c r="O132" t="s">
        <v>30</v>
      </c>
      <c r="P132" t="s">
        <v>31</v>
      </c>
      <c r="Q132">
        <v>0</v>
      </c>
      <c r="S132" t="s">
        <v>32</v>
      </c>
      <c r="U132">
        <v>0</v>
      </c>
      <c r="W132">
        <v>0</v>
      </c>
      <c r="X132">
        <v>0</v>
      </c>
      <c r="Y132" t="s">
        <v>403</v>
      </c>
      <c r="Z132">
        <v>0</v>
      </c>
      <c r="AB132" t="s">
        <v>61</v>
      </c>
    </row>
    <row r="133" spans="1:28" x14ac:dyDescent="0.25">
      <c r="A133" s="2">
        <v>46082</v>
      </c>
      <c r="B133" t="s">
        <v>404</v>
      </c>
      <c r="C133" t="s">
        <v>34</v>
      </c>
      <c r="D133" t="s">
        <v>57</v>
      </c>
      <c r="E133" t="s">
        <v>38</v>
      </c>
      <c r="F133" t="s">
        <v>58</v>
      </c>
      <c r="G133" t="s">
        <v>240</v>
      </c>
      <c r="H133">
        <v>1</v>
      </c>
      <c r="I133">
        <v>35.799999999999997</v>
      </c>
      <c r="J133">
        <v>12</v>
      </c>
      <c r="K133">
        <v>23.8</v>
      </c>
      <c r="L133">
        <v>390</v>
      </c>
      <c r="M133">
        <v>32</v>
      </c>
      <c r="N133">
        <v>0</v>
      </c>
      <c r="O133" t="s">
        <v>30</v>
      </c>
      <c r="P133" t="s">
        <v>31</v>
      </c>
      <c r="Q133">
        <v>0</v>
      </c>
      <c r="S133" t="s">
        <v>32</v>
      </c>
      <c r="U133">
        <v>0</v>
      </c>
      <c r="W133">
        <v>0</v>
      </c>
      <c r="X133">
        <v>0</v>
      </c>
      <c r="Y133" t="s">
        <v>405</v>
      </c>
      <c r="Z133">
        <v>0</v>
      </c>
      <c r="AB133" t="s">
        <v>61</v>
      </c>
    </row>
    <row r="134" spans="1:28" x14ac:dyDescent="0.25">
      <c r="A134" s="2">
        <v>46082</v>
      </c>
      <c r="B134" t="s">
        <v>406</v>
      </c>
      <c r="C134" t="s">
        <v>42</v>
      </c>
      <c r="D134" t="s">
        <v>57</v>
      </c>
      <c r="E134" t="s">
        <v>38</v>
      </c>
      <c r="F134" t="s">
        <v>58</v>
      </c>
      <c r="G134" t="s">
        <v>240</v>
      </c>
      <c r="H134">
        <v>1</v>
      </c>
      <c r="I134">
        <v>42</v>
      </c>
      <c r="J134">
        <v>10.5</v>
      </c>
      <c r="K134">
        <v>31.5</v>
      </c>
      <c r="L134">
        <v>410</v>
      </c>
      <c r="M134">
        <v>32</v>
      </c>
      <c r="N134">
        <v>0</v>
      </c>
      <c r="O134" t="s">
        <v>30</v>
      </c>
      <c r="P134" t="s">
        <v>31</v>
      </c>
      <c r="Q134">
        <v>0</v>
      </c>
      <c r="S134" t="s">
        <v>32</v>
      </c>
      <c r="U134">
        <v>0</v>
      </c>
      <c r="W134">
        <v>0</v>
      </c>
      <c r="X134">
        <v>0</v>
      </c>
      <c r="Y134" t="s">
        <v>407</v>
      </c>
      <c r="Z134">
        <v>0</v>
      </c>
      <c r="AB134" t="s">
        <v>61</v>
      </c>
    </row>
    <row r="135" spans="1:28" x14ac:dyDescent="0.25">
      <c r="A135" s="2">
        <v>46082</v>
      </c>
      <c r="B135" t="s">
        <v>408</v>
      </c>
      <c r="C135" t="s">
        <v>43</v>
      </c>
      <c r="D135" t="s">
        <v>57</v>
      </c>
      <c r="E135" t="s">
        <v>38</v>
      </c>
      <c r="F135" t="s">
        <v>58</v>
      </c>
      <c r="G135" t="s">
        <v>240</v>
      </c>
      <c r="H135">
        <v>1</v>
      </c>
      <c r="I135">
        <v>20</v>
      </c>
      <c r="J135">
        <v>1</v>
      </c>
      <c r="K135">
        <v>19</v>
      </c>
      <c r="L135">
        <v>320</v>
      </c>
      <c r="M135">
        <v>32</v>
      </c>
      <c r="N135">
        <v>0</v>
      </c>
      <c r="O135" t="s">
        <v>30</v>
      </c>
      <c r="P135" t="s">
        <v>31</v>
      </c>
      <c r="Q135">
        <v>0</v>
      </c>
      <c r="S135" t="s">
        <v>32</v>
      </c>
      <c r="U135">
        <v>0</v>
      </c>
      <c r="W135">
        <v>0</v>
      </c>
      <c r="X135">
        <v>0</v>
      </c>
      <c r="Y135" t="s">
        <v>409</v>
      </c>
      <c r="Z135">
        <v>0</v>
      </c>
      <c r="AB135" t="s">
        <v>61</v>
      </c>
    </row>
    <row r="136" spans="1:28" x14ac:dyDescent="0.25">
      <c r="A136" s="2">
        <v>46082</v>
      </c>
      <c r="B136" t="s">
        <v>410</v>
      </c>
      <c r="C136" t="s">
        <v>49</v>
      </c>
      <c r="D136" t="s">
        <v>57</v>
      </c>
      <c r="E136" t="s">
        <v>38</v>
      </c>
      <c r="F136" t="s">
        <v>58</v>
      </c>
      <c r="G136" t="s">
        <v>230</v>
      </c>
      <c r="H136">
        <v>1</v>
      </c>
      <c r="I136">
        <v>53</v>
      </c>
      <c r="J136">
        <v>12</v>
      </c>
      <c r="K136">
        <v>41</v>
      </c>
      <c r="L136">
        <v>470</v>
      </c>
      <c r="M136">
        <v>47</v>
      </c>
      <c r="N136">
        <v>0</v>
      </c>
      <c r="O136" t="s">
        <v>30</v>
      </c>
      <c r="P136" t="s">
        <v>31</v>
      </c>
      <c r="Q136">
        <v>0</v>
      </c>
      <c r="S136" t="s">
        <v>32</v>
      </c>
      <c r="U136">
        <v>0</v>
      </c>
      <c r="W136">
        <v>0</v>
      </c>
      <c r="X136">
        <v>0</v>
      </c>
      <c r="Y136" t="s">
        <v>411</v>
      </c>
      <c r="Z136">
        <v>0</v>
      </c>
      <c r="AB136" t="s">
        <v>61</v>
      </c>
    </row>
    <row r="137" spans="1:28" x14ac:dyDescent="0.25">
      <c r="A137" s="2">
        <v>46082</v>
      </c>
      <c r="B137" t="s">
        <v>412</v>
      </c>
      <c r="C137" t="s">
        <v>413</v>
      </c>
      <c r="D137" t="s">
        <v>57</v>
      </c>
      <c r="E137" t="s">
        <v>38</v>
      </c>
      <c r="F137" t="s">
        <v>58</v>
      </c>
      <c r="G137" t="s">
        <v>240</v>
      </c>
      <c r="H137">
        <v>1</v>
      </c>
      <c r="I137">
        <v>98</v>
      </c>
      <c r="J137">
        <v>24.5</v>
      </c>
      <c r="K137">
        <v>73.5</v>
      </c>
      <c r="L137">
        <v>700</v>
      </c>
      <c r="M137">
        <v>32</v>
      </c>
      <c r="N137">
        <v>0</v>
      </c>
      <c r="O137" t="s">
        <v>30</v>
      </c>
      <c r="P137" t="s">
        <v>31</v>
      </c>
      <c r="Q137">
        <v>0</v>
      </c>
      <c r="S137" t="s">
        <v>32</v>
      </c>
      <c r="U137">
        <v>0</v>
      </c>
      <c r="W137">
        <v>0</v>
      </c>
      <c r="X137">
        <v>0</v>
      </c>
      <c r="Y137" t="s">
        <v>414</v>
      </c>
      <c r="Z137">
        <v>0</v>
      </c>
      <c r="AB137" t="s">
        <v>61</v>
      </c>
    </row>
    <row r="138" spans="1:28" x14ac:dyDescent="0.25">
      <c r="A138" s="2">
        <v>46082</v>
      </c>
      <c r="B138" t="s">
        <v>415</v>
      </c>
      <c r="C138" t="s">
        <v>397</v>
      </c>
      <c r="D138" t="s">
        <v>57</v>
      </c>
      <c r="E138" t="s">
        <v>38</v>
      </c>
      <c r="F138" t="s">
        <v>58</v>
      </c>
      <c r="G138" t="s">
        <v>240</v>
      </c>
      <c r="H138">
        <v>1</v>
      </c>
      <c r="I138">
        <v>27.2</v>
      </c>
      <c r="J138">
        <v>0</v>
      </c>
      <c r="K138">
        <v>27.2</v>
      </c>
      <c r="L138">
        <v>390</v>
      </c>
      <c r="M138">
        <v>32</v>
      </c>
      <c r="N138">
        <v>0</v>
      </c>
      <c r="O138" t="s">
        <v>30</v>
      </c>
      <c r="P138" t="s">
        <v>31</v>
      </c>
      <c r="Q138">
        <v>0</v>
      </c>
      <c r="S138" t="s">
        <v>32</v>
      </c>
      <c r="U138">
        <v>0</v>
      </c>
      <c r="W138">
        <v>0</v>
      </c>
      <c r="X138">
        <v>0</v>
      </c>
      <c r="Y138" t="s">
        <v>416</v>
      </c>
      <c r="Z138">
        <v>0</v>
      </c>
      <c r="AB138" t="s">
        <v>61</v>
      </c>
    </row>
    <row r="139" spans="1:28" x14ac:dyDescent="0.25">
      <c r="A139" s="2">
        <v>46082</v>
      </c>
      <c r="B139" t="s">
        <v>417</v>
      </c>
      <c r="C139" t="s">
        <v>418</v>
      </c>
      <c r="D139" t="s">
        <v>57</v>
      </c>
      <c r="E139" t="s">
        <v>38</v>
      </c>
      <c r="F139" t="s">
        <v>58</v>
      </c>
      <c r="G139" t="s">
        <v>240</v>
      </c>
      <c r="H139">
        <v>1</v>
      </c>
      <c r="I139">
        <v>18.399999999999999</v>
      </c>
      <c r="J139">
        <v>1</v>
      </c>
      <c r="K139">
        <v>17.399999999999999</v>
      </c>
      <c r="L139">
        <v>320</v>
      </c>
      <c r="M139">
        <v>32</v>
      </c>
      <c r="N139">
        <v>0</v>
      </c>
      <c r="O139" t="s">
        <v>30</v>
      </c>
      <c r="P139" t="s">
        <v>31</v>
      </c>
      <c r="Q139">
        <v>0</v>
      </c>
      <c r="S139" t="s">
        <v>32</v>
      </c>
      <c r="U139">
        <v>0</v>
      </c>
      <c r="W139">
        <v>0</v>
      </c>
      <c r="X139">
        <v>0</v>
      </c>
      <c r="Y139" t="s">
        <v>419</v>
      </c>
      <c r="Z139">
        <v>0</v>
      </c>
      <c r="AB139" t="s">
        <v>61</v>
      </c>
    </row>
    <row r="140" spans="1:28" x14ac:dyDescent="0.25">
      <c r="A140" s="2">
        <v>46082</v>
      </c>
      <c r="B140" t="s">
        <v>420</v>
      </c>
      <c r="C140" t="s">
        <v>421</v>
      </c>
      <c r="D140" t="s">
        <v>57</v>
      </c>
      <c r="E140" t="s">
        <v>38</v>
      </c>
      <c r="F140" t="s">
        <v>58</v>
      </c>
      <c r="G140" t="s">
        <v>230</v>
      </c>
      <c r="H140">
        <v>1</v>
      </c>
      <c r="I140">
        <v>51</v>
      </c>
      <c r="J140">
        <v>7</v>
      </c>
      <c r="K140">
        <v>44</v>
      </c>
      <c r="L140">
        <v>500</v>
      </c>
      <c r="M140">
        <v>47</v>
      </c>
      <c r="N140">
        <v>0</v>
      </c>
      <c r="O140" t="s">
        <v>30</v>
      </c>
      <c r="P140" t="s">
        <v>31</v>
      </c>
      <c r="Q140">
        <v>0</v>
      </c>
      <c r="S140" t="s">
        <v>32</v>
      </c>
      <c r="U140">
        <v>0</v>
      </c>
      <c r="W140">
        <v>0</v>
      </c>
      <c r="X140">
        <v>0</v>
      </c>
      <c r="Y140" t="s">
        <v>422</v>
      </c>
      <c r="Z140">
        <v>0</v>
      </c>
      <c r="AB140" t="s">
        <v>61</v>
      </c>
    </row>
    <row r="141" spans="1:28" x14ac:dyDescent="0.25">
      <c r="A141" s="2">
        <v>46082</v>
      </c>
      <c r="B141" t="s">
        <v>423</v>
      </c>
      <c r="C141" t="s">
        <v>384</v>
      </c>
      <c r="D141" t="s">
        <v>57</v>
      </c>
      <c r="E141" t="s">
        <v>38</v>
      </c>
      <c r="F141" t="s">
        <v>58</v>
      </c>
      <c r="G141" t="s">
        <v>230</v>
      </c>
      <c r="H141">
        <v>1</v>
      </c>
      <c r="I141">
        <v>45.2</v>
      </c>
      <c r="J141">
        <v>0</v>
      </c>
      <c r="K141">
        <v>45.2</v>
      </c>
      <c r="L141">
        <v>500</v>
      </c>
      <c r="M141">
        <v>47</v>
      </c>
      <c r="N141">
        <v>0</v>
      </c>
      <c r="O141" t="s">
        <v>30</v>
      </c>
      <c r="P141" t="s">
        <v>31</v>
      </c>
      <c r="Q141">
        <v>0</v>
      </c>
      <c r="S141" t="s">
        <v>32</v>
      </c>
      <c r="U141">
        <v>0</v>
      </c>
      <c r="W141">
        <v>0</v>
      </c>
      <c r="X141">
        <v>0</v>
      </c>
      <c r="Y141" t="s">
        <v>424</v>
      </c>
      <c r="Z141">
        <v>0</v>
      </c>
      <c r="AB141" t="s">
        <v>61</v>
      </c>
    </row>
    <row r="142" spans="1:28" x14ac:dyDescent="0.25">
      <c r="A142" s="2">
        <v>46082</v>
      </c>
      <c r="B142" t="s">
        <v>425</v>
      </c>
      <c r="C142" t="s">
        <v>426</v>
      </c>
      <c r="D142" t="s">
        <v>57</v>
      </c>
      <c r="E142" t="s">
        <v>38</v>
      </c>
      <c r="F142" t="s">
        <v>58</v>
      </c>
      <c r="G142" t="s">
        <v>230</v>
      </c>
      <c r="H142">
        <v>1</v>
      </c>
      <c r="I142">
        <v>31</v>
      </c>
      <c r="J142">
        <v>0</v>
      </c>
      <c r="K142">
        <v>31</v>
      </c>
      <c r="L142">
        <v>400</v>
      </c>
      <c r="M142">
        <v>47</v>
      </c>
      <c r="N142">
        <v>0</v>
      </c>
      <c r="O142" t="s">
        <v>30</v>
      </c>
      <c r="P142" t="s">
        <v>31</v>
      </c>
      <c r="Q142">
        <v>0</v>
      </c>
      <c r="S142" t="s">
        <v>32</v>
      </c>
      <c r="U142">
        <v>0</v>
      </c>
      <c r="W142">
        <v>0</v>
      </c>
      <c r="X142">
        <v>0</v>
      </c>
      <c r="Y142" t="s">
        <v>427</v>
      </c>
      <c r="Z142">
        <v>0</v>
      </c>
      <c r="AB142" t="s">
        <v>61</v>
      </c>
    </row>
    <row r="143" spans="1:28" x14ac:dyDescent="0.25">
      <c r="A143" s="2">
        <v>46082</v>
      </c>
      <c r="B143" t="s">
        <v>428</v>
      </c>
      <c r="C143" t="s">
        <v>429</v>
      </c>
      <c r="D143" t="s">
        <v>57</v>
      </c>
      <c r="E143" t="s">
        <v>36</v>
      </c>
      <c r="F143" t="s">
        <v>58</v>
      </c>
      <c r="G143" t="s">
        <v>250</v>
      </c>
      <c r="H143">
        <v>1</v>
      </c>
      <c r="I143">
        <v>108.8</v>
      </c>
      <c r="J143">
        <v>40</v>
      </c>
      <c r="K143">
        <v>68.8</v>
      </c>
      <c r="L143">
        <v>700</v>
      </c>
      <c r="M143">
        <v>58</v>
      </c>
      <c r="N143">
        <v>0</v>
      </c>
      <c r="O143" t="s">
        <v>30</v>
      </c>
      <c r="P143" t="s">
        <v>31</v>
      </c>
      <c r="Q143">
        <v>0</v>
      </c>
      <c r="S143" t="s">
        <v>32</v>
      </c>
      <c r="U143">
        <v>0</v>
      </c>
      <c r="W143">
        <v>0</v>
      </c>
      <c r="X143">
        <v>0</v>
      </c>
      <c r="Y143" t="s">
        <v>430</v>
      </c>
      <c r="Z143">
        <v>0</v>
      </c>
      <c r="AB143" t="s">
        <v>61</v>
      </c>
    </row>
    <row r="144" spans="1:28" x14ac:dyDescent="0.25">
      <c r="A144" s="2">
        <v>46082</v>
      </c>
      <c r="B144" t="s">
        <v>431</v>
      </c>
      <c r="C144" t="s">
        <v>432</v>
      </c>
      <c r="D144" t="s">
        <v>57</v>
      </c>
      <c r="E144" t="s">
        <v>36</v>
      </c>
      <c r="F144" t="s">
        <v>58</v>
      </c>
      <c r="G144" t="s">
        <v>250</v>
      </c>
      <c r="H144">
        <v>1</v>
      </c>
      <c r="I144">
        <v>62.2</v>
      </c>
      <c r="J144">
        <v>10</v>
      </c>
      <c r="K144">
        <v>52.2</v>
      </c>
      <c r="L144">
        <v>580</v>
      </c>
      <c r="M144">
        <v>58</v>
      </c>
      <c r="N144">
        <v>0</v>
      </c>
      <c r="O144" t="s">
        <v>251</v>
      </c>
      <c r="P144" t="s">
        <v>31</v>
      </c>
      <c r="Q144">
        <v>0</v>
      </c>
      <c r="S144" t="s">
        <v>32</v>
      </c>
      <c r="U144">
        <v>0</v>
      </c>
      <c r="W144">
        <v>0</v>
      </c>
      <c r="X144">
        <v>0</v>
      </c>
      <c r="Y144" t="s">
        <v>433</v>
      </c>
      <c r="Z144">
        <v>0</v>
      </c>
      <c r="AB144" t="s">
        <v>61</v>
      </c>
    </row>
    <row r="145" spans="1:28" x14ac:dyDescent="0.25">
      <c r="A145" s="2">
        <v>46082</v>
      </c>
      <c r="B145" t="s">
        <v>434</v>
      </c>
      <c r="C145" t="s">
        <v>435</v>
      </c>
      <c r="D145" t="s">
        <v>57</v>
      </c>
      <c r="E145" t="s">
        <v>36</v>
      </c>
      <c r="F145" t="s">
        <v>58</v>
      </c>
      <c r="G145" t="s">
        <v>250</v>
      </c>
      <c r="H145">
        <v>1</v>
      </c>
      <c r="I145">
        <v>55.4</v>
      </c>
      <c r="J145">
        <v>9</v>
      </c>
      <c r="K145">
        <v>46.4</v>
      </c>
      <c r="L145">
        <v>520</v>
      </c>
      <c r="M145">
        <v>58</v>
      </c>
      <c r="N145">
        <v>0</v>
      </c>
      <c r="O145" t="s">
        <v>251</v>
      </c>
      <c r="P145" t="s">
        <v>31</v>
      </c>
      <c r="Q145">
        <v>0</v>
      </c>
      <c r="S145" t="s">
        <v>32</v>
      </c>
      <c r="U145">
        <v>0</v>
      </c>
      <c r="W145">
        <v>0</v>
      </c>
      <c r="X145">
        <v>0</v>
      </c>
      <c r="Y145" t="s">
        <v>436</v>
      </c>
      <c r="Z145">
        <v>0</v>
      </c>
      <c r="AB145" t="s">
        <v>61</v>
      </c>
    </row>
    <row r="146" spans="1:28" x14ac:dyDescent="0.25">
      <c r="A146" s="2">
        <v>46082</v>
      </c>
      <c r="B146" t="s">
        <v>437</v>
      </c>
      <c r="C146" t="s">
        <v>432</v>
      </c>
      <c r="D146" t="s">
        <v>57</v>
      </c>
      <c r="E146" t="s">
        <v>36</v>
      </c>
      <c r="F146" t="s">
        <v>58</v>
      </c>
      <c r="G146" t="s">
        <v>250</v>
      </c>
      <c r="H146">
        <v>1</v>
      </c>
      <c r="I146">
        <v>57.4</v>
      </c>
      <c r="J146">
        <v>9</v>
      </c>
      <c r="K146">
        <v>48.4</v>
      </c>
      <c r="L146">
        <v>520</v>
      </c>
      <c r="M146">
        <v>58</v>
      </c>
      <c r="N146">
        <v>0</v>
      </c>
      <c r="O146" t="s">
        <v>251</v>
      </c>
      <c r="P146" t="s">
        <v>31</v>
      </c>
      <c r="Q146">
        <v>0</v>
      </c>
      <c r="S146" t="s">
        <v>32</v>
      </c>
      <c r="U146">
        <v>0</v>
      </c>
      <c r="W146">
        <v>0</v>
      </c>
      <c r="X146">
        <v>0</v>
      </c>
      <c r="Y146" t="s">
        <v>438</v>
      </c>
      <c r="Z146">
        <v>0</v>
      </c>
      <c r="AB146" t="s">
        <v>61</v>
      </c>
    </row>
    <row r="147" spans="1:28" x14ac:dyDescent="0.25">
      <c r="A147" s="2">
        <v>46082</v>
      </c>
      <c r="B147" t="s">
        <v>439</v>
      </c>
      <c r="C147" t="s">
        <v>48</v>
      </c>
      <c r="D147" t="s">
        <v>57</v>
      </c>
      <c r="E147" t="s">
        <v>36</v>
      </c>
      <c r="F147" t="s">
        <v>58</v>
      </c>
      <c r="G147" t="s">
        <v>250</v>
      </c>
      <c r="H147">
        <v>1</v>
      </c>
      <c r="I147">
        <v>45</v>
      </c>
      <c r="J147">
        <v>9</v>
      </c>
      <c r="K147">
        <v>36</v>
      </c>
      <c r="L147">
        <v>520</v>
      </c>
      <c r="M147">
        <v>58</v>
      </c>
      <c r="N147">
        <v>0</v>
      </c>
      <c r="O147" t="s">
        <v>251</v>
      </c>
      <c r="P147" t="s">
        <v>31</v>
      </c>
      <c r="Q147">
        <v>0</v>
      </c>
      <c r="S147" t="s">
        <v>32</v>
      </c>
      <c r="U147">
        <v>0</v>
      </c>
      <c r="W147">
        <v>0</v>
      </c>
      <c r="X147">
        <v>0</v>
      </c>
      <c r="Y147" t="s">
        <v>440</v>
      </c>
      <c r="Z147">
        <v>0</v>
      </c>
      <c r="AB147" t="s">
        <v>61</v>
      </c>
    </row>
    <row r="148" spans="1:28" x14ac:dyDescent="0.25">
      <c r="A148" s="2">
        <v>46082</v>
      </c>
      <c r="B148" t="s">
        <v>441</v>
      </c>
      <c r="C148" t="s">
        <v>442</v>
      </c>
      <c r="D148" t="s">
        <v>57</v>
      </c>
      <c r="E148" t="s">
        <v>36</v>
      </c>
      <c r="F148" t="s">
        <v>58</v>
      </c>
      <c r="G148" t="s">
        <v>250</v>
      </c>
      <c r="H148">
        <v>1</v>
      </c>
      <c r="I148">
        <v>57.2</v>
      </c>
      <c r="J148">
        <v>6</v>
      </c>
      <c r="K148">
        <v>51.2</v>
      </c>
      <c r="L148">
        <v>590</v>
      </c>
      <c r="M148">
        <v>58</v>
      </c>
      <c r="N148">
        <v>0</v>
      </c>
      <c r="O148" t="s">
        <v>251</v>
      </c>
      <c r="P148" t="s">
        <v>31</v>
      </c>
      <c r="Q148">
        <v>0</v>
      </c>
      <c r="S148" t="s">
        <v>32</v>
      </c>
      <c r="U148">
        <v>0</v>
      </c>
      <c r="W148">
        <v>0</v>
      </c>
      <c r="X148">
        <v>0</v>
      </c>
      <c r="Y148" t="s">
        <v>443</v>
      </c>
      <c r="Z148">
        <v>0</v>
      </c>
      <c r="AB148" t="s">
        <v>61</v>
      </c>
    </row>
    <row r="149" spans="1:28" x14ac:dyDescent="0.25">
      <c r="A149" s="2">
        <v>46082</v>
      </c>
      <c r="B149" t="s">
        <v>444</v>
      </c>
      <c r="C149" t="s">
        <v>445</v>
      </c>
      <c r="D149" t="s">
        <v>57</v>
      </c>
      <c r="E149" t="s">
        <v>36</v>
      </c>
      <c r="F149" t="s">
        <v>58</v>
      </c>
      <c r="G149" t="s">
        <v>250</v>
      </c>
      <c r="H149">
        <v>1</v>
      </c>
      <c r="I149">
        <v>61</v>
      </c>
      <c r="J149">
        <v>11</v>
      </c>
      <c r="K149">
        <v>50</v>
      </c>
      <c r="L149">
        <v>590</v>
      </c>
      <c r="M149">
        <v>58</v>
      </c>
      <c r="N149">
        <v>0</v>
      </c>
      <c r="O149" t="s">
        <v>251</v>
      </c>
      <c r="P149" t="s">
        <v>31</v>
      </c>
      <c r="Q149">
        <v>0</v>
      </c>
      <c r="S149" t="s">
        <v>32</v>
      </c>
      <c r="U149">
        <v>0</v>
      </c>
      <c r="W149">
        <v>0</v>
      </c>
      <c r="X149">
        <v>0</v>
      </c>
      <c r="Y149" t="s">
        <v>446</v>
      </c>
      <c r="Z149">
        <v>0</v>
      </c>
      <c r="AB149" t="s">
        <v>61</v>
      </c>
    </row>
    <row r="150" spans="1:28" x14ac:dyDescent="0.25">
      <c r="A150" s="2">
        <v>46082</v>
      </c>
      <c r="B150" t="s">
        <v>447</v>
      </c>
      <c r="C150" t="s">
        <v>54</v>
      </c>
      <c r="D150" t="s">
        <v>57</v>
      </c>
      <c r="E150" t="s">
        <v>36</v>
      </c>
      <c r="F150" t="s">
        <v>58</v>
      </c>
      <c r="G150" t="s">
        <v>250</v>
      </c>
      <c r="H150">
        <v>1</v>
      </c>
      <c r="I150">
        <v>73.2</v>
      </c>
      <c r="J150">
        <v>14</v>
      </c>
      <c r="K150">
        <v>59.2</v>
      </c>
      <c r="L150">
        <v>650</v>
      </c>
      <c r="M150">
        <v>58</v>
      </c>
      <c r="N150">
        <v>0</v>
      </c>
      <c r="O150" t="s">
        <v>251</v>
      </c>
      <c r="P150" t="s">
        <v>31</v>
      </c>
      <c r="Q150">
        <v>0</v>
      </c>
      <c r="S150" t="s">
        <v>32</v>
      </c>
      <c r="U150">
        <v>0</v>
      </c>
      <c r="W150">
        <v>0</v>
      </c>
      <c r="X150">
        <v>0</v>
      </c>
      <c r="Y150" t="s">
        <v>448</v>
      </c>
      <c r="Z150">
        <v>0</v>
      </c>
      <c r="AB150" t="s">
        <v>61</v>
      </c>
    </row>
    <row r="151" spans="1:28" x14ac:dyDescent="0.25">
      <c r="A151" s="2">
        <v>46082</v>
      </c>
      <c r="B151" t="s">
        <v>449</v>
      </c>
      <c r="C151" t="s">
        <v>435</v>
      </c>
      <c r="D151" t="s">
        <v>57</v>
      </c>
      <c r="E151" t="s">
        <v>36</v>
      </c>
      <c r="F151" t="s">
        <v>58</v>
      </c>
      <c r="G151" t="s">
        <v>250</v>
      </c>
      <c r="H151">
        <v>1</v>
      </c>
      <c r="I151">
        <v>38.799999999999997</v>
      </c>
      <c r="J151">
        <v>5</v>
      </c>
      <c r="K151">
        <v>33.799999999999997</v>
      </c>
      <c r="L151">
        <v>520</v>
      </c>
      <c r="M151">
        <v>58</v>
      </c>
      <c r="N151">
        <v>0</v>
      </c>
      <c r="O151" t="s">
        <v>251</v>
      </c>
      <c r="P151" t="s">
        <v>31</v>
      </c>
      <c r="Q151">
        <v>0</v>
      </c>
      <c r="S151" t="s">
        <v>32</v>
      </c>
      <c r="U151">
        <v>0</v>
      </c>
      <c r="W151">
        <v>0</v>
      </c>
      <c r="X151">
        <v>0</v>
      </c>
      <c r="Y151" t="s">
        <v>450</v>
      </c>
      <c r="Z151">
        <v>0</v>
      </c>
      <c r="AB151" t="s">
        <v>61</v>
      </c>
    </row>
    <row r="152" spans="1:28" x14ac:dyDescent="0.25">
      <c r="A152" s="2">
        <v>46082</v>
      </c>
      <c r="B152" t="s">
        <v>451</v>
      </c>
      <c r="C152" t="s">
        <v>452</v>
      </c>
      <c r="D152" t="s">
        <v>57</v>
      </c>
      <c r="E152" t="s">
        <v>36</v>
      </c>
      <c r="F152" t="s">
        <v>58</v>
      </c>
      <c r="G152" t="s">
        <v>250</v>
      </c>
      <c r="H152">
        <v>1</v>
      </c>
      <c r="I152">
        <v>24.2</v>
      </c>
      <c r="J152">
        <v>1</v>
      </c>
      <c r="K152">
        <v>23.2</v>
      </c>
      <c r="L152">
        <v>500</v>
      </c>
      <c r="M152">
        <v>58</v>
      </c>
      <c r="N152">
        <v>0</v>
      </c>
      <c r="O152" t="s">
        <v>251</v>
      </c>
      <c r="P152" t="s">
        <v>31</v>
      </c>
      <c r="Q152">
        <v>0</v>
      </c>
      <c r="S152" t="s">
        <v>32</v>
      </c>
      <c r="U152">
        <v>0</v>
      </c>
      <c r="W152">
        <v>0</v>
      </c>
      <c r="X152">
        <v>0</v>
      </c>
      <c r="Y152" t="s">
        <v>453</v>
      </c>
      <c r="Z152">
        <v>0</v>
      </c>
      <c r="AB152" t="s">
        <v>61</v>
      </c>
    </row>
    <row r="153" spans="1:28" x14ac:dyDescent="0.25">
      <c r="A153" s="2">
        <v>46082</v>
      </c>
      <c r="B153" t="s">
        <v>454</v>
      </c>
      <c r="C153" t="s">
        <v>455</v>
      </c>
      <c r="D153" t="s">
        <v>57</v>
      </c>
      <c r="E153" t="s">
        <v>36</v>
      </c>
      <c r="F153" t="s">
        <v>58</v>
      </c>
      <c r="G153" t="s">
        <v>250</v>
      </c>
      <c r="H153">
        <v>1</v>
      </c>
      <c r="I153">
        <v>59.4</v>
      </c>
      <c r="J153">
        <v>6</v>
      </c>
      <c r="K153">
        <v>53.4</v>
      </c>
      <c r="L153">
        <v>660</v>
      </c>
      <c r="M153">
        <v>58</v>
      </c>
      <c r="N153">
        <v>0</v>
      </c>
      <c r="O153" t="s">
        <v>251</v>
      </c>
      <c r="P153" t="s">
        <v>31</v>
      </c>
      <c r="Q153">
        <v>0</v>
      </c>
      <c r="S153" t="s">
        <v>32</v>
      </c>
      <c r="U153">
        <v>0</v>
      </c>
      <c r="W153">
        <v>0</v>
      </c>
      <c r="X153">
        <v>0</v>
      </c>
      <c r="Y153" t="s">
        <v>456</v>
      </c>
      <c r="Z153">
        <v>0</v>
      </c>
      <c r="AB153" t="s">
        <v>61</v>
      </c>
    </row>
    <row r="154" spans="1:28" x14ac:dyDescent="0.25">
      <c r="A154" s="2">
        <v>46082</v>
      </c>
      <c r="B154" t="s">
        <v>457</v>
      </c>
      <c r="C154" t="s">
        <v>458</v>
      </c>
      <c r="D154" t="s">
        <v>57</v>
      </c>
      <c r="E154" t="s">
        <v>36</v>
      </c>
      <c r="F154" t="s">
        <v>58</v>
      </c>
      <c r="G154" t="s">
        <v>250</v>
      </c>
      <c r="H154">
        <v>1</v>
      </c>
      <c r="I154">
        <v>53.8</v>
      </c>
      <c r="J154">
        <v>6</v>
      </c>
      <c r="K154">
        <v>47.8</v>
      </c>
      <c r="L154">
        <v>660</v>
      </c>
      <c r="M154">
        <v>58</v>
      </c>
      <c r="N154">
        <v>0</v>
      </c>
      <c r="O154" t="s">
        <v>251</v>
      </c>
      <c r="P154" t="s">
        <v>31</v>
      </c>
      <c r="Q154">
        <v>0</v>
      </c>
      <c r="S154" t="s">
        <v>32</v>
      </c>
      <c r="U154">
        <v>0</v>
      </c>
      <c r="W154">
        <v>0</v>
      </c>
      <c r="X154">
        <v>0</v>
      </c>
      <c r="Y154" t="s">
        <v>459</v>
      </c>
      <c r="Z154">
        <v>0</v>
      </c>
      <c r="AB154" t="s">
        <v>61</v>
      </c>
    </row>
    <row r="155" spans="1:28" x14ac:dyDescent="0.25">
      <c r="A155" s="2">
        <v>46082</v>
      </c>
      <c r="B155" t="s">
        <v>460</v>
      </c>
      <c r="C155" t="s">
        <v>461</v>
      </c>
      <c r="D155" t="s">
        <v>57</v>
      </c>
      <c r="E155" t="s">
        <v>36</v>
      </c>
      <c r="F155" t="s">
        <v>58</v>
      </c>
      <c r="G155" t="s">
        <v>250</v>
      </c>
      <c r="H155">
        <v>1</v>
      </c>
      <c r="I155">
        <v>54</v>
      </c>
      <c r="J155">
        <v>6</v>
      </c>
      <c r="K155">
        <v>48</v>
      </c>
      <c r="L155">
        <v>660</v>
      </c>
      <c r="M155">
        <v>58</v>
      </c>
      <c r="N155">
        <v>0</v>
      </c>
      <c r="O155" t="s">
        <v>251</v>
      </c>
      <c r="P155" t="s">
        <v>31</v>
      </c>
      <c r="Q155">
        <v>0</v>
      </c>
      <c r="S155" t="s">
        <v>32</v>
      </c>
      <c r="U155">
        <v>0</v>
      </c>
      <c r="W155">
        <v>0</v>
      </c>
      <c r="X155">
        <v>0</v>
      </c>
      <c r="Y155" t="s">
        <v>462</v>
      </c>
      <c r="Z155">
        <v>0</v>
      </c>
      <c r="AB155" t="s">
        <v>61</v>
      </c>
    </row>
    <row r="156" spans="1:28" x14ac:dyDescent="0.25">
      <c r="A156" s="2">
        <v>46082</v>
      </c>
      <c r="B156" t="s">
        <v>463</v>
      </c>
      <c r="C156" t="s">
        <v>464</v>
      </c>
      <c r="D156" t="s">
        <v>57</v>
      </c>
      <c r="E156" t="s">
        <v>36</v>
      </c>
      <c r="F156" t="s">
        <v>58</v>
      </c>
      <c r="G156" t="s">
        <v>250</v>
      </c>
      <c r="H156">
        <v>1</v>
      </c>
      <c r="I156">
        <v>76.599999999999994</v>
      </c>
      <c r="J156">
        <v>15</v>
      </c>
      <c r="K156">
        <v>61.6</v>
      </c>
      <c r="L156">
        <v>660</v>
      </c>
      <c r="M156">
        <v>58</v>
      </c>
      <c r="N156">
        <v>0</v>
      </c>
      <c r="O156" t="s">
        <v>251</v>
      </c>
      <c r="P156" t="s">
        <v>31</v>
      </c>
      <c r="Q156">
        <v>0</v>
      </c>
      <c r="S156" t="s">
        <v>32</v>
      </c>
      <c r="U156">
        <v>0</v>
      </c>
      <c r="W156">
        <v>0</v>
      </c>
      <c r="X156">
        <v>0</v>
      </c>
      <c r="Y156" t="s">
        <v>465</v>
      </c>
      <c r="Z156">
        <v>0</v>
      </c>
      <c r="AB156" t="s">
        <v>61</v>
      </c>
    </row>
    <row r="157" spans="1:28" x14ac:dyDescent="0.25">
      <c r="A157" s="2">
        <v>46082</v>
      </c>
      <c r="B157" t="s">
        <v>466</v>
      </c>
      <c r="C157" t="s">
        <v>467</v>
      </c>
      <c r="D157" t="s">
        <v>57</v>
      </c>
      <c r="E157" t="s">
        <v>36</v>
      </c>
      <c r="F157" t="s">
        <v>58</v>
      </c>
      <c r="G157" t="s">
        <v>250</v>
      </c>
      <c r="H157">
        <v>1</v>
      </c>
      <c r="I157">
        <v>216.2</v>
      </c>
      <c r="J157">
        <v>23</v>
      </c>
      <c r="K157">
        <v>193.2</v>
      </c>
      <c r="L157">
        <v>1460</v>
      </c>
      <c r="M157">
        <v>58</v>
      </c>
      <c r="N157">
        <v>0</v>
      </c>
      <c r="O157" t="s">
        <v>251</v>
      </c>
      <c r="P157" t="s">
        <v>31</v>
      </c>
      <c r="Q157">
        <v>0</v>
      </c>
      <c r="S157" t="s">
        <v>32</v>
      </c>
      <c r="U157">
        <v>0</v>
      </c>
      <c r="W157">
        <v>0</v>
      </c>
      <c r="X157">
        <v>0</v>
      </c>
      <c r="Y157" t="s">
        <v>468</v>
      </c>
      <c r="Z157">
        <v>0</v>
      </c>
      <c r="AB157" t="s">
        <v>61</v>
      </c>
    </row>
    <row r="158" spans="1:28" x14ac:dyDescent="0.25">
      <c r="A158" s="2">
        <v>46082</v>
      </c>
      <c r="B158" t="s">
        <v>469</v>
      </c>
      <c r="C158" t="s">
        <v>470</v>
      </c>
      <c r="D158" t="s">
        <v>57</v>
      </c>
      <c r="E158" t="s">
        <v>36</v>
      </c>
      <c r="F158" t="s">
        <v>58</v>
      </c>
      <c r="G158" t="s">
        <v>250</v>
      </c>
      <c r="H158">
        <v>1</v>
      </c>
      <c r="I158">
        <v>44.6</v>
      </c>
      <c r="J158">
        <v>4</v>
      </c>
      <c r="K158">
        <v>40.6</v>
      </c>
      <c r="L158">
        <v>520</v>
      </c>
      <c r="M158">
        <v>58</v>
      </c>
      <c r="N158">
        <v>0</v>
      </c>
      <c r="O158" t="s">
        <v>251</v>
      </c>
      <c r="P158" t="s">
        <v>31</v>
      </c>
      <c r="Q158">
        <v>0</v>
      </c>
      <c r="S158" t="s">
        <v>32</v>
      </c>
      <c r="U158">
        <v>0</v>
      </c>
      <c r="W158">
        <v>0</v>
      </c>
      <c r="X158">
        <v>0</v>
      </c>
      <c r="Y158" t="s">
        <v>471</v>
      </c>
      <c r="Z158">
        <v>0</v>
      </c>
      <c r="AB158" t="s">
        <v>61</v>
      </c>
    </row>
    <row r="159" spans="1:28" x14ac:dyDescent="0.25">
      <c r="A159" s="2">
        <v>46082</v>
      </c>
      <c r="B159" t="s">
        <v>472</v>
      </c>
      <c r="C159" t="s">
        <v>473</v>
      </c>
      <c r="D159" t="s">
        <v>57</v>
      </c>
      <c r="E159" t="s">
        <v>38</v>
      </c>
      <c r="F159" t="s">
        <v>58</v>
      </c>
      <c r="G159" t="s">
        <v>250</v>
      </c>
      <c r="H159">
        <v>1</v>
      </c>
      <c r="I159">
        <v>106</v>
      </c>
      <c r="J159">
        <v>21.5</v>
      </c>
      <c r="K159">
        <v>84.5</v>
      </c>
      <c r="L159">
        <v>480</v>
      </c>
      <c r="M159">
        <v>58</v>
      </c>
      <c r="N159">
        <v>0</v>
      </c>
      <c r="O159" t="s">
        <v>251</v>
      </c>
      <c r="P159" t="s">
        <v>31</v>
      </c>
      <c r="Q159">
        <v>0</v>
      </c>
      <c r="S159" t="s">
        <v>32</v>
      </c>
      <c r="U159">
        <v>0</v>
      </c>
      <c r="W159">
        <v>0</v>
      </c>
      <c r="X159">
        <v>0</v>
      </c>
      <c r="Y159" t="s">
        <v>474</v>
      </c>
      <c r="Z159">
        <v>0</v>
      </c>
      <c r="AB159" t="s">
        <v>61</v>
      </c>
    </row>
    <row r="160" spans="1:28" x14ac:dyDescent="0.25">
      <c r="A160" s="2">
        <v>46082</v>
      </c>
      <c r="B160" t="s">
        <v>475</v>
      </c>
      <c r="C160" t="s">
        <v>476</v>
      </c>
      <c r="D160" t="s">
        <v>57</v>
      </c>
      <c r="E160" t="s">
        <v>38</v>
      </c>
      <c r="F160" t="s">
        <v>58</v>
      </c>
      <c r="G160" t="s">
        <v>250</v>
      </c>
      <c r="H160">
        <v>1</v>
      </c>
      <c r="I160">
        <v>25</v>
      </c>
      <c r="J160">
        <v>0</v>
      </c>
      <c r="K160">
        <v>25</v>
      </c>
      <c r="L160">
        <v>360</v>
      </c>
      <c r="M160">
        <v>58</v>
      </c>
      <c r="N160">
        <v>0</v>
      </c>
      <c r="O160" t="s">
        <v>251</v>
      </c>
      <c r="P160" t="s">
        <v>31</v>
      </c>
      <c r="Q160">
        <v>0</v>
      </c>
      <c r="S160" t="s">
        <v>32</v>
      </c>
      <c r="U160">
        <v>0</v>
      </c>
      <c r="W160">
        <v>0</v>
      </c>
      <c r="X160">
        <v>0</v>
      </c>
      <c r="Y160" t="s">
        <v>477</v>
      </c>
      <c r="Z160">
        <v>0</v>
      </c>
      <c r="AB160" t="s">
        <v>61</v>
      </c>
    </row>
    <row r="161" spans="1:28" x14ac:dyDescent="0.25">
      <c r="A161" s="2">
        <v>46082</v>
      </c>
      <c r="B161" t="s">
        <v>478</v>
      </c>
      <c r="C161" t="s">
        <v>479</v>
      </c>
      <c r="D161" t="s">
        <v>57</v>
      </c>
      <c r="E161" t="s">
        <v>38</v>
      </c>
      <c r="F161" t="s">
        <v>58</v>
      </c>
      <c r="G161" t="s">
        <v>250</v>
      </c>
      <c r="H161">
        <v>1</v>
      </c>
      <c r="I161">
        <v>23.4</v>
      </c>
      <c r="J161">
        <v>0</v>
      </c>
      <c r="K161">
        <v>23.4</v>
      </c>
      <c r="L161">
        <v>360</v>
      </c>
      <c r="M161">
        <v>58</v>
      </c>
      <c r="N161">
        <v>0</v>
      </c>
      <c r="O161" t="s">
        <v>251</v>
      </c>
      <c r="P161" t="s">
        <v>31</v>
      </c>
      <c r="Q161">
        <v>0</v>
      </c>
      <c r="S161" t="s">
        <v>32</v>
      </c>
      <c r="U161">
        <v>0</v>
      </c>
      <c r="W161">
        <v>0</v>
      </c>
      <c r="X161">
        <v>0</v>
      </c>
      <c r="Y161" t="s">
        <v>480</v>
      </c>
      <c r="Z161">
        <v>0</v>
      </c>
      <c r="AB161" t="s">
        <v>61</v>
      </c>
    </row>
    <row r="162" spans="1:28" x14ac:dyDescent="0.25">
      <c r="A162" s="2">
        <v>46082</v>
      </c>
      <c r="B162" t="s">
        <v>481</v>
      </c>
      <c r="C162" t="s">
        <v>482</v>
      </c>
      <c r="D162" t="s">
        <v>57</v>
      </c>
      <c r="E162" t="s">
        <v>38</v>
      </c>
      <c r="F162" t="s">
        <v>58</v>
      </c>
      <c r="G162" t="s">
        <v>250</v>
      </c>
      <c r="H162">
        <v>1</v>
      </c>
      <c r="I162">
        <v>66.599999999999994</v>
      </c>
      <c r="J162">
        <v>11.5</v>
      </c>
      <c r="K162">
        <v>55.1</v>
      </c>
      <c r="L162">
        <v>570</v>
      </c>
      <c r="M162">
        <v>58</v>
      </c>
      <c r="N162">
        <v>0</v>
      </c>
      <c r="O162" t="s">
        <v>251</v>
      </c>
      <c r="P162" t="s">
        <v>31</v>
      </c>
      <c r="Q162">
        <v>0</v>
      </c>
      <c r="S162" t="s">
        <v>32</v>
      </c>
      <c r="U162">
        <v>0</v>
      </c>
      <c r="W162">
        <v>0</v>
      </c>
      <c r="X162">
        <v>0</v>
      </c>
      <c r="Y162" t="s">
        <v>483</v>
      </c>
      <c r="Z162">
        <v>0</v>
      </c>
      <c r="AB162" t="s">
        <v>61</v>
      </c>
    </row>
    <row r="163" spans="1:28" x14ac:dyDescent="0.25">
      <c r="A163" s="2">
        <v>46082</v>
      </c>
      <c r="B163" t="s">
        <v>484</v>
      </c>
      <c r="C163" t="s">
        <v>485</v>
      </c>
      <c r="D163" t="s">
        <v>57</v>
      </c>
      <c r="E163" t="s">
        <v>38</v>
      </c>
      <c r="F163" t="s">
        <v>58</v>
      </c>
      <c r="G163" t="s">
        <v>250</v>
      </c>
      <c r="H163">
        <v>1</v>
      </c>
      <c r="I163">
        <v>137</v>
      </c>
      <c r="J163">
        <v>46</v>
      </c>
      <c r="K163">
        <v>91</v>
      </c>
      <c r="L163">
        <v>840</v>
      </c>
      <c r="M163">
        <v>58</v>
      </c>
      <c r="N163">
        <v>0</v>
      </c>
      <c r="O163" t="s">
        <v>251</v>
      </c>
      <c r="P163" t="s">
        <v>31</v>
      </c>
      <c r="Q163">
        <v>0</v>
      </c>
      <c r="S163" t="s">
        <v>32</v>
      </c>
      <c r="U163">
        <v>0</v>
      </c>
      <c r="W163">
        <v>0</v>
      </c>
      <c r="X163">
        <v>0</v>
      </c>
      <c r="Y163" t="s">
        <v>486</v>
      </c>
      <c r="Z163">
        <v>0</v>
      </c>
      <c r="AB163" t="s">
        <v>61</v>
      </c>
    </row>
    <row r="164" spans="1:28" x14ac:dyDescent="0.25">
      <c r="A164" s="2">
        <v>46082</v>
      </c>
      <c r="B164" t="s">
        <v>487</v>
      </c>
      <c r="C164" t="s">
        <v>488</v>
      </c>
      <c r="D164" t="s">
        <v>57</v>
      </c>
      <c r="E164" t="s">
        <v>38</v>
      </c>
      <c r="F164" t="s">
        <v>58</v>
      </c>
      <c r="G164" t="s">
        <v>250</v>
      </c>
      <c r="H164">
        <v>1</v>
      </c>
      <c r="I164">
        <v>138.6</v>
      </c>
      <c r="J164">
        <v>46.5</v>
      </c>
      <c r="K164">
        <v>92.1</v>
      </c>
      <c r="L164">
        <v>840</v>
      </c>
      <c r="M164">
        <v>58</v>
      </c>
      <c r="N164">
        <v>0</v>
      </c>
      <c r="O164" t="s">
        <v>251</v>
      </c>
      <c r="P164" t="s">
        <v>31</v>
      </c>
      <c r="Q164">
        <v>0</v>
      </c>
      <c r="S164" t="s">
        <v>32</v>
      </c>
      <c r="U164">
        <v>0</v>
      </c>
      <c r="W164">
        <v>0</v>
      </c>
      <c r="X164">
        <v>0</v>
      </c>
      <c r="Y164" t="s">
        <v>489</v>
      </c>
      <c r="Z164">
        <v>0</v>
      </c>
      <c r="AB164" t="s">
        <v>61</v>
      </c>
    </row>
    <row r="165" spans="1:28" x14ac:dyDescent="0.25">
      <c r="A165" s="2">
        <v>46082</v>
      </c>
      <c r="B165" t="s">
        <v>490</v>
      </c>
      <c r="C165" t="s">
        <v>491</v>
      </c>
      <c r="D165" t="s">
        <v>57</v>
      </c>
      <c r="E165" t="s">
        <v>38</v>
      </c>
      <c r="F165" t="s">
        <v>58</v>
      </c>
      <c r="G165" t="s">
        <v>250</v>
      </c>
      <c r="H165">
        <v>1</v>
      </c>
      <c r="I165">
        <v>87.2</v>
      </c>
      <c r="J165">
        <v>15.5</v>
      </c>
      <c r="K165">
        <v>71.7</v>
      </c>
      <c r="L165">
        <v>700</v>
      </c>
      <c r="M165">
        <v>58</v>
      </c>
      <c r="N165">
        <v>0</v>
      </c>
      <c r="O165" t="s">
        <v>251</v>
      </c>
      <c r="P165" t="s">
        <v>31</v>
      </c>
      <c r="Q165">
        <v>0</v>
      </c>
      <c r="S165" t="s">
        <v>32</v>
      </c>
      <c r="U165">
        <v>0</v>
      </c>
      <c r="W165">
        <v>0</v>
      </c>
      <c r="X165">
        <v>0</v>
      </c>
      <c r="Y165" t="s">
        <v>492</v>
      </c>
      <c r="Z165">
        <v>0</v>
      </c>
      <c r="AB165" t="s">
        <v>61</v>
      </c>
    </row>
    <row r="166" spans="1:28" x14ac:dyDescent="0.25">
      <c r="A166" s="2">
        <v>46082</v>
      </c>
      <c r="B166" t="s">
        <v>493</v>
      </c>
      <c r="C166" t="s">
        <v>494</v>
      </c>
      <c r="D166" t="s">
        <v>57</v>
      </c>
      <c r="E166" t="s">
        <v>38</v>
      </c>
      <c r="F166" t="s">
        <v>58</v>
      </c>
      <c r="G166" t="s">
        <v>250</v>
      </c>
      <c r="H166">
        <v>1</v>
      </c>
      <c r="I166">
        <v>170.8</v>
      </c>
      <c r="J166">
        <v>42</v>
      </c>
      <c r="K166">
        <v>128.80000000000001</v>
      </c>
      <c r="L166">
        <v>1120</v>
      </c>
      <c r="M166">
        <v>58</v>
      </c>
      <c r="N166">
        <v>0</v>
      </c>
      <c r="O166" t="s">
        <v>251</v>
      </c>
      <c r="P166" t="s">
        <v>31</v>
      </c>
      <c r="Q166">
        <v>0</v>
      </c>
      <c r="S166" t="s">
        <v>32</v>
      </c>
      <c r="U166">
        <v>0</v>
      </c>
      <c r="W166">
        <v>0</v>
      </c>
      <c r="X166">
        <v>0</v>
      </c>
      <c r="Y166" t="s">
        <v>495</v>
      </c>
      <c r="Z166">
        <v>0</v>
      </c>
      <c r="AB166" t="s">
        <v>61</v>
      </c>
    </row>
    <row r="167" spans="1:28" x14ac:dyDescent="0.25">
      <c r="A167" s="2">
        <v>46082</v>
      </c>
      <c r="B167" t="s">
        <v>496</v>
      </c>
      <c r="C167" t="s">
        <v>497</v>
      </c>
      <c r="D167" t="s">
        <v>57</v>
      </c>
      <c r="E167" t="s">
        <v>38</v>
      </c>
      <c r="F167" t="s">
        <v>58</v>
      </c>
      <c r="G167" t="s">
        <v>250</v>
      </c>
      <c r="H167">
        <v>1</v>
      </c>
      <c r="I167">
        <v>81.2</v>
      </c>
      <c r="J167">
        <v>16.5</v>
      </c>
      <c r="K167">
        <v>64.7</v>
      </c>
      <c r="L167">
        <v>640</v>
      </c>
      <c r="M167">
        <v>58</v>
      </c>
      <c r="N167">
        <v>0</v>
      </c>
      <c r="O167" t="s">
        <v>251</v>
      </c>
      <c r="P167" t="s">
        <v>31</v>
      </c>
      <c r="Q167">
        <v>0</v>
      </c>
      <c r="S167" t="s">
        <v>32</v>
      </c>
      <c r="U167">
        <v>0</v>
      </c>
      <c r="W167">
        <v>0</v>
      </c>
      <c r="X167">
        <v>0</v>
      </c>
      <c r="Y167" t="s">
        <v>498</v>
      </c>
      <c r="Z167">
        <v>0</v>
      </c>
      <c r="AB167" t="s">
        <v>61</v>
      </c>
    </row>
    <row r="168" spans="1:28" x14ac:dyDescent="0.25">
      <c r="A168" s="2">
        <v>46082</v>
      </c>
      <c r="B168" t="s">
        <v>499</v>
      </c>
      <c r="C168" t="s">
        <v>500</v>
      </c>
      <c r="D168" t="s">
        <v>57</v>
      </c>
      <c r="E168" t="s">
        <v>38</v>
      </c>
      <c r="F168" t="s">
        <v>58</v>
      </c>
      <c r="G168" t="s">
        <v>250</v>
      </c>
      <c r="H168">
        <v>1</v>
      </c>
      <c r="I168">
        <v>63</v>
      </c>
      <c r="J168">
        <v>8.5</v>
      </c>
      <c r="K168">
        <v>54.5</v>
      </c>
      <c r="L168">
        <v>580</v>
      </c>
      <c r="M168">
        <v>58</v>
      </c>
      <c r="N168">
        <v>0</v>
      </c>
      <c r="O168" t="s">
        <v>251</v>
      </c>
      <c r="P168" t="s">
        <v>31</v>
      </c>
      <c r="Q168">
        <v>0</v>
      </c>
      <c r="S168" t="s">
        <v>32</v>
      </c>
      <c r="U168">
        <v>0</v>
      </c>
      <c r="W168">
        <v>0</v>
      </c>
      <c r="X168">
        <v>0</v>
      </c>
      <c r="Y168" t="s">
        <v>501</v>
      </c>
      <c r="Z168">
        <v>0</v>
      </c>
      <c r="AB168" t="s">
        <v>61</v>
      </c>
    </row>
    <row r="169" spans="1:28" x14ac:dyDescent="0.25">
      <c r="A169" s="2">
        <v>46082</v>
      </c>
      <c r="B169" t="s">
        <v>502</v>
      </c>
      <c r="C169" t="s">
        <v>503</v>
      </c>
      <c r="D169" t="s">
        <v>57</v>
      </c>
      <c r="E169" t="s">
        <v>38</v>
      </c>
      <c r="F169" t="s">
        <v>58</v>
      </c>
      <c r="G169" t="s">
        <v>250</v>
      </c>
      <c r="H169">
        <v>1</v>
      </c>
      <c r="I169">
        <v>66.400000000000006</v>
      </c>
      <c r="J169">
        <v>8</v>
      </c>
      <c r="K169">
        <v>58.4</v>
      </c>
      <c r="L169">
        <v>600</v>
      </c>
      <c r="M169">
        <v>58</v>
      </c>
      <c r="N169">
        <v>0</v>
      </c>
      <c r="O169" t="s">
        <v>251</v>
      </c>
      <c r="P169" t="s">
        <v>31</v>
      </c>
      <c r="Q169">
        <v>0</v>
      </c>
      <c r="S169" t="s">
        <v>32</v>
      </c>
      <c r="U169">
        <v>0</v>
      </c>
      <c r="W169">
        <v>0</v>
      </c>
      <c r="X169">
        <v>0</v>
      </c>
      <c r="Y169" t="s">
        <v>504</v>
      </c>
      <c r="Z169">
        <v>0</v>
      </c>
      <c r="AB169" t="s">
        <v>61</v>
      </c>
    </row>
    <row r="170" spans="1:28" x14ac:dyDescent="0.25">
      <c r="A170" s="2">
        <v>46082</v>
      </c>
      <c r="B170" t="s">
        <v>505</v>
      </c>
      <c r="C170" t="s">
        <v>506</v>
      </c>
      <c r="D170" t="s">
        <v>57</v>
      </c>
      <c r="E170" t="s">
        <v>38</v>
      </c>
      <c r="F170" t="s">
        <v>58</v>
      </c>
      <c r="G170" t="s">
        <v>250</v>
      </c>
      <c r="H170">
        <v>1</v>
      </c>
      <c r="I170">
        <v>139.19999999999999</v>
      </c>
      <c r="J170">
        <v>43.5</v>
      </c>
      <c r="K170">
        <v>95.7</v>
      </c>
      <c r="L170">
        <v>860</v>
      </c>
      <c r="M170">
        <v>58</v>
      </c>
      <c r="N170">
        <v>0</v>
      </c>
      <c r="O170" t="s">
        <v>251</v>
      </c>
      <c r="P170" t="s">
        <v>31</v>
      </c>
      <c r="Q170">
        <v>0</v>
      </c>
      <c r="S170" t="s">
        <v>32</v>
      </c>
      <c r="U170">
        <v>0</v>
      </c>
      <c r="W170">
        <v>0</v>
      </c>
      <c r="X170">
        <v>0</v>
      </c>
      <c r="Y170" t="s">
        <v>507</v>
      </c>
      <c r="Z170">
        <v>0</v>
      </c>
      <c r="AB170" t="s">
        <v>61</v>
      </c>
    </row>
    <row r="171" spans="1:28" x14ac:dyDescent="0.25">
      <c r="A171" s="2">
        <v>46082</v>
      </c>
      <c r="B171" t="s">
        <v>508</v>
      </c>
      <c r="C171" t="s">
        <v>49</v>
      </c>
      <c r="D171" t="s">
        <v>57</v>
      </c>
      <c r="E171" t="s">
        <v>36</v>
      </c>
      <c r="F171" t="s">
        <v>58</v>
      </c>
      <c r="G171" t="s">
        <v>230</v>
      </c>
      <c r="H171">
        <v>1</v>
      </c>
      <c r="I171">
        <v>71.2</v>
      </c>
      <c r="J171">
        <v>22</v>
      </c>
      <c r="K171">
        <v>49.2</v>
      </c>
      <c r="L171">
        <v>650</v>
      </c>
      <c r="M171">
        <v>66</v>
      </c>
      <c r="N171">
        <v>0</v>
      </c>
      <c r="O171" t="s">
        <v>30</v>
      </c>
      <c r="P171" t="s">
        <v>31</v>
      </c>
      <c r="Q171">
        <v>0</v>
      </c>
      <c r="S171" t="s">
        <v>32</v>
      </c>
      <c r="U171">
        <v>0</v>
      </c>
      <c r="W171">
        <v>41.6</v>
      </c>
      <c r="X171">
        <v>41.6</v>
      </c>
      <c r="Y171" t="s">
        <v>509</v>
      </c>
      <c r="Z171">
        <v>0</v>
      </c>
      <c r="AB171" t="s">
        <v>61</v>
      </c>
    </row>
    <row r="172" spans="1:28" x14ac:dyDescent="0.25">
      <c r="A172" s="2">
        <v>46082</v>
      </c>
      <c r="B172" t="s">
        <v>510</v>
      </c>
      <c r="C172" t="s">
        <v>41</v>
      </c>
      <c r="D172" t="s">
        <v>57</v>
      </c>
      <c r="E172" t="s">
        <v>36</v>
      </c>
      <c r="F172" t="s">
        <v>58</v>
      </c>
      <c r="G172" t="s">
        <v>230</v>
      </c>
      <c r="H172">
        <v>1</v>
      </c>
      <c r="I172">
        <v>52</v>
      </c>
      <c r="J172">
        <v>12.5</v>
      </c>
      <c r="K172">
        <v>39.5</v>
      </c>
      <c r="L172">
        <v>480</v>
      </c>
      <c r="M172">
        <v>47</v>
      </c>
      <c r="N172">
        <v>0</v>
      </c>
      <c r="O172" t="s">
        <v>30</v>
      </c>
      <c r="P172" t="s">
        <v>31</v>
      </c>
      <c r="Q172">
        <v>0</v>
      </c>
      <c r="S172" t="s">
        <v>32</v>
      </c>
      <c r="U172">
        <v>0</v>
      </c>
      <c r="W172">
        <v>0</v>
      </c>
      <c r="X172">
        <v>0</v>
      </c>
      <c r="Y172" t="s">
        <v>511</v>
      </c>
      <c r="Z172">
        <v>0</v>
      </c>
      <c r="AB172" t="s">
        <v>61</v>
      </c>
    </row>
    <row r="173" spans="1:28" x14ac:dyDescent="0.25">
      <c r="A173" s="2">
        <v>46082</v>
      </c>
      <c r="B173" t="s">
        <v>512</v>
      </c>
      <c r="C173" t="s">
        <v>42</v>
      </c>
      <c r="D173" t="s">
        <v>57</v>
      </c>
      <c r="E173" t="s">
        <v>36</v>
      </c>
      <c r="F173" t="s">
        <v>58</v>
      </c>
      <c r="G173" t="s">
        <v>240</v>
      </c>
      <c r="H173">
        <v>1</v>
      </c>
      <c r="I173">
        <v>48</v>
      </c>
      <c r="J173">
        <v>10</v>
      </c>
      <c r="K173">
        <v>38</v>
      </c>
      <c r="L173">
        <v>520</v>
      </c>
      <c r="M173">
        <v>32</v>
      </c>
      <c r="N173">
        <v>0</v>
      </c>
      <c r="O173" t="s">
        <v>30</v>
      </c>
      <c r="P173" t="s">
        <v>31</v>
      </c>
      <c r="Q173">
        <v>0</v>
      </c>
      <c r="S173" t="s">
        <v>32</v>
      </c>
      <c r="U173">
        <v>0</v>
      </c>
      <c r="W173">
        <v>0</v>
      </c>
      <c r="X173">
        <v>0</v>
      </c>
      <c r="Y173" t="s">
        <v>513</v>
      </c>
      <c r="Z173">
        <v>0</v>
      </c>
      <c r="AB173" t="s">
        <v>61</v>
      </c>
    </row>
    <row r="174" spans="1:28" x14ac:dyDescent="0.25">
      <c r="A174" s="2">
        <v>46082</v>
      </c>
      <c r="B174" t="s">
        <v>514</v>
      </c>
      <c r="C174" t="s">
        <v>515</v>
      </c>
      <c r="D174" t="s">
        <v>57</v>
      </c>
      <c r="E174" t="s">
        <v>36</v>
      </c>
      <c r="F174" t="s">
        <v>58</v>
      </c>
      <c r="G174" t="s">
        <v>240</v>
      </c>
      <c r="H174">
        <v>1</v>
      </c>
      <c r="I174">
        <v>62.4</v>
      </c>
      <c r="J174">
        <v>22</v>
      </c>
      <c r="K174">
        <v>40.4</v>
      </c>
      <c r="L174">
        <v>560</v>
      </c>
      <c r="M174">
        <v>32</v>
      </c>
      <c r="N174">
        <v>0</v>
      </c>
      <c r="O174" t="s">
        <v>30</v>
      </c>
      <c r="P174" t="s">
        <v>31</v>
      </c>
      <c r="Q174">
        <v>0</v>
      </c>
      <c r="S174" t="s">
        <v>32</v>
      </c>
      <c r="U174">
        <v>0</v>
      </c>
      <c r="W174">
        <v>0</v>
      </c>
      <c r="X174">
        <v>0</v>
      </c>
      <c r="Y174" t="s">
        <v>516</v>
      </c>
      <c r="Z174">
        <v>0</v>
      </c>
      <c r="AB174" t="s">
        <v>61</v>
      </c>
    </row>
    <row r="175" spans="1:28" x14ac:dyDescent="0.25">
      <c r="A175" s="2">
        <v>46082</v>
      </c>
      <c r="B175" t="s">
        <v>517</v>
      </c>
      <c r="C175" t="s">
        <v>518</v>
      </c>
      <c r="D175" t="s">
        <v>57</v>
      </c>
      <c r="E175" t="s">
        <v>36</v>
      </c>
      <c r="F175" t="s">
        <v>58</v>
      </c>
      <c r="G175" t="s">
        <v>230</v>
      </c>
      <c r="H175">
        <v>1</v>
      </c>
      <c r="I175">
        <v>55.8</v>
      </c>
      <c r="J175">
        <v>2</v>
      </c>
      <c r="K175">
        <v>53.8</v>
      </c>
      <c r="L175">
        <v>520</v>
      </c>
      <c r="M175">
        <v>47</v>
      </c>
      <c r="N175">
        <v>0</v>
      </c>
      <c r="O175" t="s">
        <v>30</v>
      </c>
      <c r="P175" t="s">
        <v>31</v>
      </c>
      <c r="Q175">
        <v>0</v>
      </c>
      <c r="S175" t="s">
        <v>32</v>
      </c>
      <c r="U175">
        <v>0</v>
      </c>
      <c r="W175">
        <v>0</v>
      </c>
      <c r="X175">
        <v>0</v>
      </c>
      <c r="Y175" t="s">
        <v>519</v>
      </c>
      <c r="Z175">
        <v>0</v>
      </c>
      <c r="AB175" t="s">
        <v>61</v>
      </c>
    </row>
    <row r="176" spans="1:28" x14ac:dyDescent="0.25">
      <c r="A176" s="2">
        <v>46082</v>
      </c>
      <c r="B176" t="s">
        <v>520</v>
      </c>
      <c r="C176" t="s">
        <v>521</v>
      </c>
      <c r="D176" t="s">
        <v>57</v>
      </c>
      <c r="E176" t="s">
        <v>36</v>
      </c>
      <c r="F176" t="s">
        <v>58</v>
      </c>
      <c r="G176" t="s">
        <v>240</v>
      </c>
      <c r="H176">
        <v>1</v>
      </c>
      <c r="I176">
        <v>22.8</v>
      </c>
      <c r="J176">
        <v>6.5</v>
      </c>
      <c r="K176">
        <v>16.3</v>
      </c>
      <c r="L176">
        <v>400</v>
      </c>
      <c r="M176">
        <v>32</v>
      </c>
      <c r="N176">
        <v>0</v>
      </c>
      <c r="O176" t="s">
        <v>30</v>
      </c>
      <c r="P176" t="s">
        <v>31</v>
      </c>
      <c r="Q176">
        <v>0</v>
      </c>
      <c r="S176" t="s">
        <v>32</v>
      </c>
      <c r="U176">
        <v>0</v>
      </c>
      <c r="W176">
        <v>0</v>
      </c>
      <c r="X176">
        <v>0</v>
      </c>
      <c r="Y176" t="s">
        <v>522</v>
      </c>
      <c r="Z176">
        <v>0</v>
      </c>
      <c r="AB176" t="s">
        <v>61</v>
      </c>
    </row>
    <row r="177" spans="1:28" x14ac:dyDescent="0.25">
      <c r="A177" s="2">
        <v>46082</v>
      </c>
      <c r="B177" t="s">
        <v>523</v>
      </c>
      <c r="C177" t="s">
        <v>524</v>
      </c>
      <c r="D177" t="s">
        <v>57</v>
      </c>
      <c r="E177" t="s">
        <v>111</v>
      </c>
      <c r="F177" t="s">
        <v>58</v>
      </c>
      <c r="G177" t="s">
        <v>230</v>
      </c>
      <c r="H177">
        <v>1</v>
      </c>
      <c r="I177">
        <v>28.2</v>
      </c>
      <c r="J177">
        <v>3.2</v>
      </c>
      <c r="K177">
        <v>25</v>
      </c>
      <c r="L177">
        <v>410</v>
      </c>
      <c r="M177">
        <v>47</v>
      </c>
      <c r="N177">
        <v>0</v>
      </c>
      <c r="O177" t="s">
        <v>30</v>
      </c>
      <c r="P177" t="s">
        <v>31</v>
      </c>
      <c r="Q177">
        <v>0</v>
      </c>
      <c r="S177" t="s">
        <v>32</v>
      </c>
      <c r="U177">
        <v>0</v>
      </c>
      <c r="W177">
        <v>0</v>
      </c>
      <c r="X177">
        <v>0</v>
      </c>
      <c r="Y177" t="s">
        <v>525</v>
      </c>
      <c r="Z177">
        <v>0</v>
      </c>
      <c r="AB177" t="s">
        <v>61</v>
      </c>
    </row>
    <row r="178" spans="1:28" x14ac:dyDescent="0.25">
      <c r="A178" s="2">
        <v>46082</v>
      </c>
      <c r="B178" t="s">
        <v>526</v>
      </c>
      <c r="C178" t="s">
        <v>527</v>
      </c>
      <c r="D178" t="s">
        <v>57</v>
      </c>
      <c r="E178" t="s">
        <v>111</v>
      </c>
      <c r="F178" t="s">
        <v>58</v>
      </c>
      <c r="G178" t="s">
        <v>240</v>
      </c>
      <c r="H178">
        <v>1</v>
      </c>
      <c r="I178">
        <v>31.2</v>
      </c>
      <c r="J178">
        <v>2</v>
      </c>
      <c r="K178">
        <v>29.2</v>
      </c>
      <c r="L178">
        <v>430</v>
      </c>
      <c r="M178">
        <v>32</v>
      </c>
      <c r="N178">
        <v>0</v>
      </c>
      <c r="O178" t="s">
        <v>30</v>
      </c>
      <c r="P178" t="s">
        <v>31</v>
      </c>
      <c r="Q178">
        <v>0</v>
      </c>
      <c r="S178" t="s">
        <v>32</v>
      </c>
      <c r="U178">
        <v>0</v>
      </c>
      <c r="W178">
        <v>0</v>
      </c>
      <c r="X178">
        <v>0</v>
      </c>
      <c r="Y178" t="s">
        <v>528</v>
      </c>
      <c r="Z178">
        <v>0</v>
      </c>
      <c r="AB178" t="s">
        <v>61</v>
      </c>
    </row>
    <row r="179" spans="1:28" x14ac:dyDescent="0.25">
      <c r="A179" s="2">
        <v>46082</v>
      </c>
      <c r="B179" t="s">
        <v>529</v>
      </c>
      <c r="C179" t="s">
        <v>530</v>
      </c>
      <c r="D179" t="s">
        <v>57</v>
      </c>
      <c r="E179" t="s">
        <v>111</v>
      </c>
      <c r="F179" t="s">
        <v>58</v>
      </c>
      <c r="G179" t="s">
        <v>240</v>
      </c>
      <c r="H179">
        <v>1</v>
      </c>
      <c r="I179">
        <v>30.4</v>
      </c>
      <c r="J179">
        <v>8</v>
      </c>
      <c r="K179">
        <v>22.4</v>
      </c>
      <c r="L179">
        <v>400</v>
      </c>
      <c r="M179">
        <v>32</v>
      </c>
      <c r="N179">
        <v>0</v>
      </c>
      <c r="O179" t="s">
        <v>30</v>
      </c>
      <c r="P179" t="s">
        <v>31</v>
      </c>
      <c r="Q179">
        <v>0</v>
      </c>
      <c r="S179" t="s">
        <v>32</v>
      </c>
      <c r="U179">
        <v>0</v>
      </c>
      <c r="W179">
        <v>0</v>
      </c>
      <c r="X179">
        <v>0</v>
      </c>
      <c r="Y179" t="s">
        <v>531</v>
      </c>
      <c r="Z179">
        <v>0</v>
      </c>
      <c r="AB179" t="s">
        <v>61</v>
      </c>
    </row>
    <row r="180" spans="1:28" x14ac:dyDescent="0.25">
      <c r="A180" s="2">
        <v>46082</v>
      </c>
      <c r="B180" t="s">
        <v>532</v>
      </c>
      <c r="C180" t="s">
        <v>533</v>
      </c>
      <c r="D180" t="s">
        <v>57</v>
      </c>
      <c r="E180" t="s">
        <v>111</v>
      </c>
      <c r="F180" t="s">
        <v>58</v>
      </c>
      <c r="G180" t="s">
        <v>240</v>
      </c>
      <c r="H180">
        <v>1</v>
      </c>
      <c r="I180">
        <v>33.4</v>
      </c>
      <c r="J180">
        <v>3</v>
      </c>
      <c r="K180">
        <v>30.4</v>
      </c>
      <c r="L180">
        <v>400</v>
      </c>
      <c r="M180">
        <v>32</v>
      </c>
      <c r="N180">
        <v>0</v>
      </c>
      <c r="O180" t="s">
        <v>30</v>
      </c>
      <c r="P180" t="s">
        <v>31</v>
      </c>
      <c r="Q180">
        <v>0</v>
      </c>
      <c r="S180" t="s">
        <v>32</v>
      </c>
      <c r="U180">
        <v>0</v>
      </c>
      <c r="W180">
        <v>0</v>
      </c>
      <c r="X180">
        <v>0</v>
      </c>
      <c r="Y180" t="s">
        <v>534</v>
      </c>
      <c r="Z180">
        <v>0</v>
      </c>
      <c r="AB180" t="s">
        <v>61</v>
      </c>
    </row>
    <row r="181" spans="1:28" x14ac:dyDescent="0.25">
      <c r="A181" s="2">
        <v>46082</v>
      </c>
      <c r="B181" t="s">
        <v>535</v>
      </c>
      <c r="C181" t="s">
        <v>46</v>
      </c>
      <c r="D181" t="s">
        <v>57</v>
      </c>
      <c r="E181" t="s">
        <v>111</v>
      </c>
      <c r="F181" t="s">
        <v>58</v>
      </c>
      <c r="G181" t="s">
        <v>240</v>
      </c>
      <c r="H181">
        <v>1</v>
      </c>
      <c r="I181">
        <v>45.8</v>
      </c>
      <c r="J181">
        <v>12.2</v>
      </c>
      <c r="K181">
        <v>33.6</v>
      </c>
      <c r="L181">
        <v>360</v>
      </c>
      <c r="M181">
        <v>32</v>
      </c>
      <c r="N181">
        <v>0</v>
      </c>
      <c r="O181" t="s">
        <v>30</v>
      </c>
      <c r="P181" t="s">
        <v>31</v>
      </c>
      <c r="Q181">
        <v>0</v>
      </c>
      <c r="S181" t="s">
        <v>32</v>
      </c>
      <c r="U181">
        <v>0</v>
      </c>
      <c r="W181">
        <v>0</v>
      </c>
      <c r="X181">
        <v>0</v>
      </c>
      <c r="Y181" t="s">
        <v>536</v>
      </c>
      <c r="Z181">
        <v>0</v>
      </c>
      <c r="AB181" t="s">
        <v>61</v>
      </c>
    </row>
    <row r="182" spans="1:28" x14ac:dyDescent="0.25">
      <c r="A182" s="2">
        <v>46082</v>
      </c>
      <c r="B182" t="s">
        <v>537</v>
      </c>
      <c r="C182" t="s">
        <v>41</v>
      </c>
      <c r="D182" t="s">
        <v>57</v>
      </c>
      <c r="E182" t="s">
        <v>111</v>
      </c>
      <c r="F182" t="s">
        <v>58</v>
      </c>
      <c r="G182" t="s">
        <v>230</v>
      </c>
      <c r="H182">
        <v>1</v>
      </c>
      <c r="I182">
        <v>61.4</v>
      </c>
      <c r="J182">
        <v>20.3</v>
      </c>
      <c r="K182">
        <v>41.1</v>
      </c>
      <c r="L182">
        <v>540</v>
      </c>
      <c r="M182">
        <v>47</v>
      </c>
      <c r="N182">
        <v>0</v>
      </c>
      <c r="O182" t="s">
        <v>30</v>
      </c>
      <c r="P182" t="s">
        <v>31</v>
      </c>
      <c r="Q182">
        <v>0</v>
      </c>
      <c r="S182" t="s">
        <v>32</v>
      </c>
      <c r="U182">
        <v>0</v>
      </c>
      <c r="W182">
        <v>0</v>
      </c>
      <c r="X182">
        <v>0</v>
      </c>
      <c r="Y182" t="s">
        <v>538</v>
      </c>
      <c r="Z182">
        <v>0</v>
      </c>
      <c r="AB182" t="s">
        <v>61</v>
      </c>
    </row>
    <row r="183" spans="1:28" x14ac:dyDescent="0.25">
      <c r="A183" s="2">
        <v>46082</v>
      </c>
      <c r="B183" t="s">
        <v>539</v>
      </c>
      <c r="C183" t="s">
        <v>540</v>
      </c>
      <c r="D183" t="s">
        <v>57</v>
      </c>
      <c r="E183" t="s">
        <v>53</v>
      </c>
      <c r="F183" t="s">
        <v>58</v>
      </c>
      <c r="G183" t="s">
        <v>240</v>
      </c>
      <c r="H183">
        <v>1</v>
      </c>
      <c r="I183">
        <v>12.8</v>
      </c>
      <c r="J183">
        <v>0.5</v>
      </c>
      <c r="K183">
        <v>12.3</v>
      </c>
      <c r="L183">
        <v>300</v>
      </c>
      <c r="M183">
        <v>32</v>
      </c>
      <c r="N183">
        <v>0</v>
      </c>
      <c r="O183" t="s">
        <v>30</v>
      </c>
      <c r="P183" t="s">
        <v>31</v>
      </c>
      <c r="Q183">
        <v>0</v>
      </c>
      <c r="S183" t="s">
        <v>32</v>
      </c>
      <c r="U183">
        <v>0</v>
      </c>
      <c r="W183">
        <v>0</v>
      </c>
      <c r="X183">
        <v>0</v>
      </c>
      <c r="Y183" t="s">
        <v>541</v>
      </c>
      <c r="Z183">
        <v>0</v>
      </c>
      <c r="AB183" t="s">
        <v>61</v>
      </c>
    </row>
    <row r="184" spans="1:28" x14ac:dyDescent="0.25">
      <c r="A184" s="2">
        <v>46082</v>
      </c>
      <c r="B184" t="s">
        <v>542</v>
      </c>
      <c r="C184" t="s">
        <v>543</v>
      </c>
      <c r="D184" t="s">
        <v>57</v>
      </c>
      <c r="E184" t="s">
        <v>38</v>
      </c>
      <c r="F184" t="s">
        <v>58</v>
      </c>
      <c r="G184" t="s">
        <v>240</v>
      </c>
      <c r="H184">
        <v>1</v>
      </c>
      <c r="I184">
        <v>18</v>
      </c>
      <c r="J184">
        <v>0.5</v>
      </c>
      <c r="K184">
        <v>17.5</v>
      </c>
      <c r="L184">
        <v>320</v>
      </c>
      <c r="M184">
        <v>32</v>
      </c>
      <c r="N184">
        <v>0</v>
      </c>
      <c r="O184" t="s">
        <v>30</v>
      </c>
      <c r="P184" t="s">
        <v>31</v>
      </c>
      <c r="Q184">
        <v>0</v>
      </c>
      <c r="S184" t="s">
        <v>32</v>
      </c>
      <c r="U184">
        <v>0</v>
      </c>
      <c r="W184">
        <v>0</v>
      </c>
      <c r="X184">
        <v>0</v>
      </c>
      <c r="Y184" t="s">
        <v>544</v>
      </c>
      <c r="Z184">
        <v>0</v>
      </c>
      <c r="AB184" t="s">
        <v>61</v>
      </c>
    </row>
    <row r="185" spans="1:28" x14ac:dyDescent="0.25">
      <c r="A185" s="2">
        <v>46082</v>
      </c>
      <c r="B185" t="s">
        <v>545</v>
      </c>
      <c r="C185" t="s">
        <v>34</v>
      </c>
      <c r="D185" t="s">
        <v>57</v>
      </c>
      <c r="E185" t="s">
        <v>38</v>
      </c>
      <c r="F185" t="s">
        <v>58</v>
      </c>
      <c r="G185" t="s">
        <v>240</v>
      </c>
      <c r="H185">
        <v>1</v>
      </c>
      <c r="I185">
        <v>40.6</v>
      </c>
      <c r="J185">
        <v>12</v>
      </c>
      <c r="K185">
        <v>28.6</v>
      </c>
      <c r="L185">
        <v>390</v>
      </c>
      <c r="M185">
        <v>32</v>
      </c>
      <c r="N185">
        <v>0</v>
      </c>
      <c r="O185" t="s">
        <v>30</v>
      </c>
      <c r="P185" t="s">
        <v>31</v>
      </c>
      <c r="Q185">
        <v>0</v>
      </c>
      <c r="S185" t="s">
        <v>32</v>
      </c>
      <c r="U185">
        <v>0</v>
      </c>
      <c r="W185">
        <v>0</v>
      </c>
      <c r="X185">
        <v>0</v>
      </c>
      <c r="Y185" t="s">
        <v>546</v>
      </c>
      <c r="Z185">
        <v>0</v>
      </c>
      <c r="AB185" t="s">
        <v>61</v>
      </c>
    </row>
    <row r="186" spans="1:28" x14ac:dyDescent="0.25">
      <c r="A186" s="2">
        <v>46082</v>
      </c>
      <c r="B186" t="s">
        <v>547</v>
      </c>
      <c r="C186" t="s">
        <v>548</v>
      </c>
      <c r="D186" t="s">
        <v>57</v>
      </c>
      <c r="E186" t="s">
        <v>38</v>
      </c>
      <c r="F186" t="s">
        <v>58</v>
      </c>
      <c r="G186" t="s">
        <v>240</v>
      </c>
      <c r="H186">
        <v>1</v>
      </c>
      <c r="I186">
        <v>24.2</v>
      </c>
      <c r="J186">
        <v>5</v>
      </c>
      <c r="K186">
        <v>19.2</v>
      </c>
      <c r="L186">
        <v>320</v>
      </c>
      <c r="M186">
        <v>32</v>
      </c>
      <c r="N186">
        <v>0</v>
      </c>
      <c r="O186" t="s">
        <v>30</v>
      </c>
      <c r="P186" t="s">
        <v>31</v>
      </c>
      <c r="Q186">
        <v>0</v>
      </c>
      <c r="S186" t="s">
        <v>32</v>
      </c>
      <c r="U186">
        <v>0</v>
      </c>
      <c r="W186">
        <v>0</v>
      </c>
      <c r="X186">
        <v>0</v>
      </c>
      <c r="Y186" t="s">
        <v>549</v>
      </c>
      <c r="Z186">
        <v>0</v>
      </c>
      <c r="AB186" t="s">
        <v>61</v>
      </c>
    </row>
    <row r="187" spans="1:28" x14ac:dyDescent="0.25">
      <c r="A187" s="2">
        <v>46082</v>
      </c>
      <c r="B187" t="s">
        <v>550</v>
      </c>
      <c r="C187" t="s">
        <v>551</v>
      </c>
      <c r="D187" t="s">
        <v>57</v>
      </c>
      <c r="E187" t="s">
        <v>38</v>
      </c>
      <c r="F187" t="s">
        <v>58</v>
      </c>
      <c r="G187" t="s">
        <v>250</v>
      </c>
      <c r="H187">
        <v>1</v>
      </c>
      <c r="I187">
        <v>47.8</v>
      </c>
      <c r="J187">
        <v>3</v>
      </c>
      <c r="K187">
        <v>44.8</v>
      </c>
      <c r="L187">
        <v>520</v>
      </c>
      <c r="M187">
        <v>58</v>
      </c>
      <c r="N187">
        <v>0</v>
      </c>
      <c r="O187" t="s">
        <v>251</v>
      </c>
      <c r="P187" t="s">
        <v>31</v>
      </c>
      <c r="Q187">
        <v>0</v>
      </c>
      <c r="S187" t="s">
        <v>32</v>
      </c>
      <c r="U187">
        <v>0</v>
      </c>
      <c r="W187">
        <v>0</v>
      </c>
      <c r="X187">
        <v>0</v>
      </c>
      <c r="Y187" t="s">
        <v>552</v>
      </c>
      <c r="Z187">
        <v>0</v>
      </c>
      <c r="AB187" t="s">
        <v>61</v>
      </c>
    </row>
    <row r="188" spans="1:28" x14ac:dyDescent="0.25">
      <c r="A188" s="2">
        <v>46082</v>
      </c>
      <c r="B188" t="s">
        <v>553</v>
      </c>
      <c r="C188" t="s">
        <v>554</v>
      </c>
      <c r="D188" t="s">
        <v>57</v>
      </c>
      <c r="E188" t="s">
        <v>38</v>
      </c>
      <c r="F188" t="s">
        <v>58</v>
      </c>
      <c r="G188" t="s">
        <v>250</v>
      </c>
      <c r="H188">
        <v>1</v>
      </c>
      <c r="I188">
        <v>152.4</v>
      </c>
      <c r="J188">
        <v>28.5</v>
      </c>
      <c r="K188">
        <v>123.9</v>
      </c>
      <c r="L188">
        <v>1060</v>
      </c>
      <c r="M188">
        <v>58</v>
      </c>
      <c r="N188">
        <v>0</v>
      </c>
      <c r="O188" t="s">
        <v>251</v>
      </c>
      <c r="P188" t="s">
        <v>31</v>
      </c>
      <c r="Q188">
        <v>0</v>
      </c>
      <c r="S188" t="s">
        <v>32</v>
      </c>
      <c r="U188">
        <v>0</v>
      </c>
      <c r="W188">
        <v>0</v>
      </c>
      <c r="X188">
        <v>0</v>
      </c>
      <c r="Y188" t="s">
        <v>555</v>
      </c>
      <c r="Z188">
        <v>0</v>
      </c>
      <c r="AB188" t="s">
        <v>61</v>
      </c>
    </row>
    <row r="189" spans="1:28" x14ac:dyDescent="0.25">
      <c r="A189" s="2">
        <v>46082</v>
      </c>
      <c r="B189" t="s">
        <v>556</v>
      </c>
      <c r="C189" t="s">
        <v>494</v>
      </c>
      <c r="D189" t="s">
        <v>57</v>
      </c>
      <c r="E189" t="s">
        <v>38</v>
      </c>
      <c r="F189" t="s">
        <v>58</v>
      </c>
      <c r="G189" t="s">
        <v>250</v>
      </c>
      <c r="H189">
        <v>1</v>
      </c>
      <c r="I189">
        <v>97</v>
      </c>
      <c r="J189">
        <v>18.5</v>
      </c>
      <c r="K189">
        <v>78.5</v>
      </c>
      <c r="L189">
        <v>740</v>
      </c>
      <c r="M189">
        <v>58</v>
      </c>
      <c r="N189">
        <v>0</v>
      </c>
      <c r="O189" t="s">
        <v>251</v>
      </c>
      <c r="P189" t="s">
        <v>31</v>
      </c>
      <c r="Q189">
        <v>0</v>
      </c>
      <c r="S189" t="s">
        <v>32</v>
      </c>
      <c r="U189">
        <v>0</v>
      </c>
      <c r="W189">
        <v>0</v>
      </c>
      <c r="X189">
        <v>0</v>
      </c>
      <c r="Y189" t="s">
        <v>557</v>
      </c>
      <c r="Z189">
        <v>0</v>
      </c>
      <c r="AB189" t="s">
        <v>61</v>
      </c>
    </row>
    <row r="190" spans="1:28" x14ac:dyDescent="0.25">
      <c r="A190" s="2">
        <v>46082</v>
      </c>
      <c r="B190" t="s">
        <v>558</v>
      </c>
      <c r="C190" t="s">
        <v>559</v>
      </c>
      <c r="D190" t="s">
        <v>57</v>
      </c>
      <c r="E190" t="s">
        <v>38</v>
      </c>
      <c r="F190" t="s">
        <v>58</v>
      </c>
      <c r="G190" t="s">
        <v>250</v>
      </c>
      <c r="H190">
        <v>1</v>
      </c>
      <c r="I190">
        <v>47.8</v>
      </c>
      <c r="J190">
        <v>6.5</v>
      </c>
      <c r="K190">
        <v>41.3</v>
      </c>
      <c r="L190">
        <v>480</v>
      </c>
      <c r="M190">
        <v>58</v>
      </c>
      <c r="N190">
        <v>0</v>
      </c>
      <c r="O190" t="s">
        <v>251</v>
      </c>
      <c r="P190" t="s">
        <v>31</v>
      </c>
      <c r="Q190">
        <v>0</v>
      </c>
      <c r="S190" t="s">
        <v>32</v>
      </c>
      <c r="U190">
        <v>0</v>
      </c>
      <c r="W190">
        <v>0</v>
      </c>
      <c r="X190">
        <v>0</v>
      </c>
      <c r="Y190" t="s">
        <v>560</v>
      </c>
      <c r="Z190">
        <v>0</v>
      </c>
      <c r="AB190" t="s">
        <v>61</v>
      </c>
    </row>
    <row r="191" spans="1:28" x14ac:dyDescent="0.25">
      <c r="A191" s="2">
        <v>46082</v>
      </c>
      <c r="B191" t="s">
        <v>561</v>
      </c>
      <c r="C191" t="s">
        <v>562</v>
      </c>
      <c r="D191" t="s">
        <v>57</v>
      </c>
      <c r="E191" t="s">
        <v>111</v>
      </c>
      <c r="F191" t="s">
        <v>58</v>
      </c>
      <c r="G191" t="s">
        <v>240</v>
      </c>
      <c r="H191">
        <v>1</v>
      </c>
      <c r="I191">
        <v>60</v>
      </c>
      <c r="J191">
        <v>31.7</v>
      </c>
      <c r="K191">
        <v>28.3</v>
      </c>
      <c r="L191">
        <v>450</v>
      </c>
      <c r="M191">
        <v>32</v>
      </c>
      <c r="N191">
        <v>0</v>
      </c>
      <c r="O191" t="s">
        <v>30</v>
      </c>
      <c r="P191" t="s">
        <v>31</v>
      </c>
      <c r="Q191">
        <v>0</v>
      </c>
      <c r="S191" t="s">
        <v>32</v>
      </c>
      <c r="U191">
        <v>0</v>
      </c>
      <c r="W191">
        <v>0</v>
      </c>
      <c r="X191">
        <v>0</v>
      </c>
      <c r="Y191" t="s">
        <v>563</v>
      </c>
      <c r="Z191">
        <v>0</v>
      </c>
      <c r="AB191" t="s">
        <v>61</v>
      </c>
    </row>
    <row r="192" spans="1:28" x14ac:dyDescent="0.25">
      <c r="A192" s="2">
        <v>46082</v>
      </c>
      <c r="B192" t="s">
        <v>564</v>
      </c>
      <c r="C192" t="s">
        <v>565</v>
      </c>
      <c r="D192" t="s">
        <v>57</v>
      </c>
      <c r="E192" t="s">
        <v>111</v>
      </c>
      <c r="F192" t="s">
        <v>58</v>
      </c>
      <c r="G192" t="s">
        <v>240</v>
      </c>
      <c r="H192">
        <v>1</v>
      </c>
      <c r="I192">
        <v>27.8</v>
      </c>
      <c r="J192">
        <v>11.7</v>
      </c>
      <c r="K192">
        <v>16.100000000000001</v>
      </c>
      <c r="L192">
        <v>360</v>
      </c>
      <c r="M192">
        <v>32</v>
      </c>
      <c r="N192">
        <v>0</v>
      </c>
      <c r="O192" t="s">
        <v>30</v>
      </c>
      <c r="P192" t="s">
        <v>31</v>
      </c>
      <c r="Q192">
        <v>0</v>
      </c>
      <c r="S192" t="s">
        <v>32</v>
      </c>
      <c r="U192">
        <v>0</v>
      </c>
      <c r="W192">
        <v>0</v>
      </c>
      <c r="X192">
        <v>0</v>
      </c>
      <c r="Y192" t="s">
        <v>566</v>
      </c>
      <c r="Z192">
        <v>0</v>
      </c>
      <c r="AB192" t="s">
        <v>61</v>
      </c>
    </row>
    <row r="193" spans="1:28" x14ac:dyDescent="0.25">
      <c r="A193" s="2">
        <v>46082</v>
      </c>
      <c r="B193" t="s">
        <v>567</v>
      </c>
      <c r="C193" t="s">
        <v>568</v>
      </c>
      <c r="D193" t="s">
        <v>57</v>
      </c>
      <c r="E193" t="s">
        <v>111</v>
      </c>
      <c r="F193" t="s">
        <v>58</v>
      </c>
      <c r="G193" t="s">
        <v>240</v>
      </c>
      <c r="H193">
        <v>1</v>
      </c>
      <c r="I193">
        <v>22</v>
      </c>
      <c r="J193">
        <v>3.5</v>
      </c>
      <c r="K193">
        <v>18.5</v>
      </c>
      <c r="L193">
        <v>340</v>
      </c>
      <c r="M193">
        <v>32</v>
      </c>
      <c r="N193">
        <v>0</v>
      </c>
      <c r="O193" t="s">
        <v>30</v>
      </c>
      <c r="P193" t="s">
        <v>31</v>
      </c>
      <c r="Q193">
        <v>0</v>
      </c>
      <c r="S193" t="s">
        <v>32</v>
      </c>
      <c r="U193">
        <v>0</v>
      </c>
      <c r="W193">
        <v>0</v>
      </c>
      <c r="X193">
        <v>0</v>
      </c>
      <c r="Y193" t="s">
        <v>569</v>
      </c>
      <c r="Z193">
        <v>0</v>
      </c>
      <c r="AB193" t="s">
        <v>61</v>
      </c>
    </row>
    <row r="194" spans="1:28" x14ac:dyDescent="0.25">
      <c r="A194" s="2">
        <v>46082</v>
      </c>
      <c r="B194" t="s">
        <v>570</v>
      </c>
      <c r="C194" t="s">
        <v>571</v>
      </c>
      <c r="D194" t="s">
        <v>57</v>
      </c>
      <c r="E194" t="s">
        <v>111</v>
      </c>
      <c r="F194" t="s">
        <v>58</v>
      </c>
      <c r="G194" t="s">
        <v>240</v>
      </c>
      <c r="H194">
        <v>1</v>
      </c>
      <c r="I194">
        <v>44.8</v>
      </c>
      <c r="J194">
        <v>7.6</v>
      </c>
      <c r="K194">
        <v>37.200000000000003</v>
      </c>
      <c r="L194">
        <v>520</v>
      </c>
      <c r="M194">
        <v>32</v>
      </c>
      <c r="N194">
        <v>0</v>
      </c>
      <c r="O194" t="s">
        <v>30</v>
      </c>
      <c r="P194" t="s">
        <v>31</v>
      </c>
      <c r="Q194">
        <v>0</v>
      </c>
      <c r="S194" t="s">
        <v>32</v>
      </c>
      <c r="U194">
        <v>0</v>
      </c>
      <c r="W194">
        <v>0</v>
      </c>
      <c r="X194">
        <v>0</v>
      </c>
      <c r="Y194" t="s">
        <v>572</v>
      </c>
      <c r="Z194">
        <v>0</v>
      </c>
      <c r="AB194" t="s">
        <v>61</v>
      </c>
    </row>
    <row r="195" spans="1:28" x14ac:dyDescent="0.25">
      <c r="A195" s="2">
        <v>46082</v>
      </c>
      <c r="B195" t="s">
        <v>573</v>
      </c>
      <c r="C195" t="s">
        <v>574</v>
      </c>
      <c r="D195" t="s">
        <v>57</v>
      </c>
      <c r="E195" t="s">
        <v>111</v>
      </c>
      <c r="F195" t="s">
        <v>58</v>
      </c>
      <c r="G195" t="s">
        <v>240</v>
      </c>
      <c r="H195">
        <v>1</v>
      </c>
      <c r="I195">
        <v>28.4</v>
      </c>
      <c r="J195">
        <v>2.6</v>
      </c>
      <c r="K195">
        <v>25.8</v>
      </c>
      <c r="L195">
        <v>430</v>
      </c>
      <c r="M195">
        <v>32</v>
      </c>
      <c r="N195">
        <v>0</v>
      </c>
      <c r="O195" t="s">
        <v>30</v>
      </c>
      <c r="P195" t="s">
        <v>31</v>
      </c>
      <c r="Q195">
        <v>0</v>
      </c>
      <c r="S195" t="s">
        <v>32</v>
      </c>
      <c r="U195">
        <v>0</v>
      </c>
      <c r="W195">
        <v>0</v>
      </c>
      <c r="X195">
        <v>0</v>
      </c>
      <c r="Y195" t="s">
        <v>575</v>
      </c>
      <c r="Z195">
        <v>0</v>
      </c>
      <c r="AB195" t="s">
        <v>61</v>
      </c>
    </row>
    <row r="196" spans="1:28" x14ac:dyDescent="0.25">
      <c r="A196" s="2">
        <v>46082</v>
      </c>
      <c r="B196" t="s">
        <v>576</v>
      </c>
      <c r="C196" t="s">
        <v>577</v>
      </c>
      <c r="D196" t="s">
        <v>57</v>
      </c>
      <c r="E196" t="s">
        <v>111</v>
      </c>
      <c r="F196" t="s">
        <v>58</v>
      </c>
      <c r="G196" t="s">
        <v>240</v>
      </c>
      <c r="H196">
        <v>1</v>
      </c>
      <c r="I196">
        <v>45.4</v>
      </c>
      <c r="J196">
        <v>13</v>
      </c>
      <c r="K196">
        <v>32.4</v>
      </c>
      <c r="L196">
        <v>430</v>
      </c>
      <c r="M196">
        <v>32</v>
      </c>
      <c r="N196">
        <v>0</v>
      </c>
      <c r="O196" t="s">
        <v>30</v>
      </c>
      <c r="P196" t="s">
        <v>31</v>
      </c>
      <c r="Q196">
        <v>0</v>
      </c>
      <c r="S196" t="s">
        <v>32</v>
      </c>
      <c r="U196">
        <v>0</v>
      </c>
      <c r="W196">
        <v>0</v>
      </c>
      <c r="X196">
        <v>0</v>
      </c>
      <c r="Y196" t="s">
        <v>578</v>
      </c>
      <c r="Z196">
        <v>0</v>
      </c>
      <c r="AB196" t="s">
        <v>61</v>
      </c>
    </row>
    <row r="197" spans="1:28" x14ac:dyDescent="0.25">
      <c r="A197" s="2">
        <v>46082</v>
      </c>
      <c r="B197" t="s">
        <v>579</v>
      </c>
      <c r="C197" t="s">
        <v>580</v>
      </c>
      <c r="D197" t="s">
        <v>57</v>
      </c>
      <c r="E197" t="s">
        <v>111</v>
      </c>
      <c r="F197" t="s">
        <v>58</v>
      </c>
      <c r="G197" t="s">
        <v>240</v>
      </c>
      <c r="H197">
        <v>1</v>
      </c>
      <c r="I197">
        <v>45.2</v>
      </c>
      <c r="J197">
        <v>7.3</v>
      </c>
      <c r="K197">
        <v>37.9</v>
      </c>
      <c r="L197">
        <v>450</v>
      </c>
      <c r="M197">
        <v>32</v>
      </c>
      <c r="N197">
        <v>0</v>
      </c>
      <c r="O197" t="s">
        <v>30</v>
      </c>
      <c r="P197" t="s">
        <v>31</v>
      </c>
      <c r="Q197">
        <v>0</v>
      </c>
      <c r="S197" t="s">
        <v>32</v>
      </c>
      <c r="U197">
        <v>0</v>
      </c>
      <c r="W197">
        <v>0</v>
      </c>
      <c r="X197">
        <v>0</v>
      </c>
      <c r="Y197" t="s">
        <v>581</v>
      </c>
      <c r="Z197">
        <v>0</v>
      </c>
      <c r="AB197" t="s">
        <v>61</v>
      </c>
    </row>
    <row r="198" spans="1:28" x14ac:dyDescent="0.25">
      <c r="A198" s="2">
        <v>46082</v>
      </c>
      <c r="B198" t="s">
        <v>582</v>
      </c>
      <c r="C198" t="s">
        <v>413</v>
      </c>
      <c r="D198" t="s">
        <v>57</v>
      </c>
      <c r="E198" t="s">
        <v>111</v>
      </c>
      <c r="F198" t="s">
        <v>58</v>
      </c>
      <c r="G198" t="s">
        <v>240</v>
      </c>
      <c r="H198">
        <v>1</v>
      </c>
      <c r="I198">
        <v>40</v>
      </c>
      <c r="J198">
        <v>8.6</v>
      </c>
      <c r="K198">
        <v>31.4</v>
      </c>
      <c r="L198">
        <v>400</v>
      </c>
      <c r="M198">
        <v>32</v>
      </c>
      <c r="N198">
        <v>0</v>
      </c>
      <c r="O198" t="s">
        <v>30</v>
      </c>
      <c r="P198" t="s">
        <v>31</v>
      </c>
      <c r="Q198">
        <v>0</v>
      </c>
      <c r="S198" t="s">
        <v>32</v>
      </c>
      <c r="U198">
        <v>0</v>
      </c>
      <c r="W198">
        <v>0</v>
      </c>
      <c r="X198">
        <v>0</v>
      </c>
      <c r="Y198" t="s">
        <v>583</v>
      </c>
      <c r="Z198">
        <v>0</v>
      </c>
      <c r="AB198" t="s">
        <v>61</v>
      </c>
    </row>
    <row r="199" spans="1:28" x14ac:dyDescent="0.25">
      <c r="A199" s="2">
        <v>46082</v>
      </c>
      <c r="B199" t="s">
        <v>584</v>
      </c>
      <c r="C199" t="s">
        <v>45</v>
      </c>
      <c r="D199" t="s">
        <v>57</v>
      </c>
      <c r="E199" t="s">
        <v>111</v>
      </c>
      <c r="F199" t="s">
        <v>58</v>
      </c>
      <c r="G199" t="s">
        <v>250</v>
      </c>
      <c r="H199">
        <v>1</v>
      </c>
      <c r="I199">
        <v>31.2</v>
      </c>
      <c r="J199">
        <v>8</v>
      </c>
      <c r="K199">
        <v>23.2</v>
      </c>
      <c r="L199">
        <v>430</v>
      </c>
      <c r="M199">
        <v>58</v>
      </c>
      <c r="N199">
        <v>0</v>
      </c>
      <c r="O199" t="s">
        <v>251</v>
      </c>
      <c r="P199" t="s">
        <v>31</v>
      </c>
      <c r="Q199">
        <v>0</v>
      </c>
      <c r="S199" t="s">
        <v>32</v>
      </c>
      <c r="U199">
        <v>0</v>
      </c>
      <c r="W199">
        <v>0</v>
      </c>
      <c r="X199">
        <v>0</v>
      </c>
      <c r="Y199" t="s">
        <v>585</v>
      </c>
      <c r="Z199">
        <v>0</v>
      </c>
      <c r="AB199" t="s">
        <v>61</v>
      </c>
    </row>
    <row r="200" spans="1:28" x14ac:dyDescent="0.25">
      <c r="A200" s="2">
        <v>46082</v>
      </c>
      <c r="B200" t="s">
        <v>586</v>
      </c>
      <c r="C200" t="s">
        <v>587</v>
      </c>
      <c r="D200" t="s">
        <v>57</v>
      </c>
      <c r="E200" t="s">
        <v>111</v>
      </c>
      <c r="F200" t="s">
        <v>58</v>
      </c>
      <c r="G200" t="s">
        <v>250</v>
      </c>
      <c r="H200">
        <v>1</v>
      </c>
      <c r="I200">
        <v>37.6</v>
      </c>
      <c r="J200">
        <v>0</v>
      </c>
      <c r="K200">
        <v>37.6</v>
      </c>
      <c r="L200">
        <v>440</v>
      </c>
      <c r="M200">
        <v>82</v>
      </c>
      <c r="N200">
        <v>0</v>
      </c>
      <c r="O200" t="s">
        <v>251</v>
      </c>
      <c r="P200" t="s">
        <v>31</v>
      </c>
      <c r="Q200">
        <v>0</v>
      </c>
      <c r="S200" t="s">
        <v>32</v>
      </c>
      <c r="U200">
        <v>0</v>
      </c>
      <c r="W200">
        <v>41.6</v>
      </c>
      <c r="X200">
        <v>41.6</v>
      </c>
      <c r="Y200" t="s">
        <v>588</v>
      </c>
      <c r="Z200">
        <v>0</v>
      </c>
      <c r="AB200" t="s">
        <v>61</v>
      </c>
    </row>
    <row r="201" spans="1:28" x14ac:dyDescent="0.25">
      <c r="A201" s="2">
        <v>46082</v>
      </c>
      <c r="B201" t="s">
        <v>589</v>
      </c>
      <c r="C201" t="s">
        <v>590</v>
      </c>
      <c r="D201" t="s">
        <v>57</v>
      </c>
      <c r="E201" t="s">
        <v>111</v>
      </c>
      <c r="F201" t="s">
        <v>58</v>
      </c>
      <c r="G201" t="s">
        <v>250</v>
      </c>
      <c r="H201">
        <v>1</v>
      </c>
      <c r="I201">
        <v>85.8</v>
      </c>
      <c r="J201">
        <v>36.9</v>
      </c>
      <c r="K201">
        <v>48.9</v>
      </c>
      <c r="L201">
        <v>670</v>
      </c>
      <c r="M201">
        <v>58</v>
      </c>
      <c r="N201">
        <v>0</v>
      </c>
      <c r="O201" t="s">
        <v>251</v>
      </c>
      <c r="P201" t="s">
        <v>31</v>
      </c>
      <c r="Q201">
        <v>0</v>
      </c>
      <c r="S201" t="s">
        <v>32</v>
      </c>
      <c r="U201">
        <v>0</v>
      </c>
      <c r="W201">
        <v>0</v>
      </c>
      <c r="X201">
        <v>0</v>
      </c>
      <c r="Y201" t="s">
        <v>591</v>
      </c>
      <c r="Z201">
        <v>0</v>
      </c>
      <c r="AB201" t="s">
        <v>61</v>
      </c>
    </row>
    <row r="202" spans="1:28" x14ac:dyDescent="0.25">
      <c r="A202" s="2">
        <v>46082</v>
      </c>
      <c r="B202" t="s">
        <v>592</v>
      </c>
      <c r="C202" t="s">
        <v>593</v>
      </c>
      <c r="D202" t="s">
        <v>57</v>
      </c>
      <c r="E202" t="s">
        <v>111</v>
      </c>
      <c r="F202" t="s">
        <v>58</v>
      </c>
      <c r="G202" t="s">
        <v>250</v>
      </c>
      <c r="H202">
        <v>1</v>
      </c>
      <c r="I202">
        <v>64</v>
      </c>
      <c r="J202">
        <v>13.6</v>
      </c>
      <c r="K202">
        <v>50.4</v>
      </c>
      <c r="L202">
        <v>620</v>
      </c>
      <c r="M202">
        <v>58</v>
      </c>
      <c r="N202">
        <v>0</v>
      </c>
      <c r="O202" t="s">
        <v>251</v>
      </c>
      <c r="P202" t="s">
        <v>31</v>
      </c>
      <c r="Q202">
        <v>0</v>
      </c>
      <c r="S202" t="s">
        <v>32</v>
      </c>
      <c r="U202">
        <v>0</v>
      </c>
      <c r="W202">
        <v>0</v>
      </c>
      <c r="X202">
        <v>0</v>
      </c>
      <c r="Y202" t="s">
        <v>594</v>
      </c>
      <c r="Z202">
        <v>0</v>
      </c>
      <c r="AB202" t="s">
        <v>61</v>
      </c>
    </row>
    <row r="203" spans="1:28" x14ac:dyDescent="0.25">
      <c r="A203" s="2">
        <v>46082</v>
      </c>
      <c r="B203" t="s">
        <v>595</v>
      </c>
      <c r="C203" t="s">
        <v>596</v>
      </c>
      <c r="D203" t="s">
        <v>57</v>
      </c>
      <c r="E203" t="s">
        <v>111</v>
      </c>
      <c r="F203" t="s">
        <v>58</v>
      </c>
      <c r="G203" t="s">
        <v>250</v>
      </c>
      <c r="H203">
        <v>1</v>
      </c>
      <c r="I203">
        <v>79.8</v>
      </c>
      <c r="J203">
        <v>9</v>
      </c>
      <c r="K203">
        <v>70.8</v>
      </c>
      <c r="L203">
        <v>790</v>
      </c>
      <c r="M203">
        <v>58</v>
      </c>
      <c r="N203">
        <v>0</v>
      </c>
      <c r="O203" t="s">
        <v>251</v>
      </c>
      <c r="P203" t="s">
        <v>31</v>
      </c>
      <c r="Q203">
        <v>0</v>
      </c>
      <c r="S203" t="s">
        <v>32</v>
      </c>
      <c r="U203">
        <v>0</v>
      </c>
      <c r="W203">
        <v>0</v>
      </c>
      <c r="X203">
        <v>0</v>
      </c>
      <c r="Y203" t="s">
        <v>597</v>
      </c>
      <c r="Z203">
        <v>0</v>
      </c>
      <c r="AB203" t="s">
        <v>61</v>
      </c>
    </row>
    <row r="204" spans="1:28" x14ac:dyDescent="0.25">
      <c r="A204" s="2">
        <v>46082</v>
      </c>
      <c r="B204" t="s">
        <v>598</v>
      </c>
      <c r="C204" t="s">
        <v>599</v>
      </c>
      <c r="D204" t="s">
        <v>57</v>
      </c>
      <c r="E204" t="s">
        <v>111</v>
      </c>
      <c r="F204" t="s">
        <v>58</v>
      </c>
      <c r="G204" t="s">
        <v>250</v>
      </c>
      <c r="H204">
        <v>1</v>
      </c>
      <c r="I204">
        <v>82.8</v>
      </c>
      <c r="J204">
        <v>9.6999999999999993</v>
      </c>
      <c r="K204">
        <v>73.099999999999994</v>
      </c>
      <c r="L204">
        <v>790</v>
      </c>
      <c r="M204">
        <v>58</v>
      </c>
      <c r="N204">
        <v>0</v>
      </c>
      <c r="O204" t="s">
        <v>251</v>
      </c>
      <c r="P204" t="s">
        <v>31</v>
      </c>
      <c r="Q204">
        <v>0</v>
      </c>
      <c r="S204" t="s">
        <v>32</v>
      </c>
      <c r="U204">
        <v>0</v>
      </c>
      <c r="W204">
        <v>0</v>
      </c>
      <c r="X204">
        <v>0</v>
      </c>
      <c r="Y204" t="s">
        <v>600</v>
      </c>
      <c r="Z204">
        <v>0</v>
      </c>
      <c r="AB204" t="s">
        <v>61</v>
      </c>
    </row>
    <row r="205" spans="1:28" x14ac:dyDescent="0.25">
      <c r="A205" s="2">
        <v>46082</v>
      </c>
      <c r="B205" t="s">
        <v>601</v>
      </c>
      <c r="C205" t="s">
        <v>602</v>
      </c>
      <c r="D205" t="s">
        <v>57</v>
      </c>
      <c r="E205" t="s">
        <v>111</v>
      </c>
      <c r="F205" t="s">
        <v>58</v>
      </c>
      <c r="G205" t="s">
        <v>250</v>
      </c>
      <c r="H205">
        <v>1</v>
      </c>
      <c r="I205">
        <v>151.4</v>
      </c>
      <c r="J205">
        <v>26.5</v>
      </c>
      <c r="K205">
        <v>124.9</v>
      </c>
      <c r="L205">
        <v>890</v>
      </c>
      <c r="M205">
        <v>58</v>
      </c>
      <c r="N205">
        <v>0</v>
      </c>
      <c r="O205" t="s">
        <v>251</v>
      </c>
      <c r="P205" t="s">
        <v>31</v>
      </c>
      <c r="Q205">
        <v>0</v>
      </c>
      <c r="S205" t="s">
        <v>32</v>
      </c>
      <c r="U205">
        <v>0</v>
      </c>
      <c r="W205">
        <v>0</v>
      </c>
      <c r="X205">
        <v>0</v>
      </c>
      <c r="Y205" t="s">
        <v>603</v>
      </c>
      <c r="Z205">
        <v>0</v>
      </c>
      <c r="AB205" t="s">
        <v>61</v>
      </c>
    </row>
    <row r="206" spans="1:28" x14ac:dyDescent="0.25">
      <c r="A206" s="2">
        <v>46082</v>
      </c>
      <c r="B206" t="s">
        <v>604</v>
      </c>
      <c r="C206" t="s">
        <v>257</v>
      </c>
      <c r="D206" t="s">
        <v>253</v>
      </c>
      <c r="E206" t="s">
        <v>44</v>
      </c>
      <c r="F206" t="s">
        <v>254</v>
      </c>
      <c r="G206" t="s">
        <v>258</v>
      </c>
      <c r="H206">
        <v>1</v>
      </c>
      <c r="I206">
        <v>1000</v>
      </c>
      <c r="J206">
        <v>0</v>
      </c>
      <c r="K206">
        <v>1000</v>
      </c>
      <c r="L206">
        <v>0</v>
      </c>
      <c r="M206">
        <v>0</v>
      </c>
      <c r="N206">
        <v>0</v>
      </c>
      <c r="O206" t="s">
        <v>30</v>
      </c>
      <c r="P206" t="s">
        <v>31</v>
      </c>
      <c r="Q206">
        <v>0</v>
      </c>
      <c r="S206" t="s">
        <v>32</v>
      </c>
      <c r="U206">
        <v>0</v>
      </c>
      <c r="W206">
        <v>99.9</v>
      </c>
      <c r="X206">
        <v>99.9</v>
      </c>
      <c r="Y206" t="s">
        <v>605</v>
      </c>
      <c r="Z206">
        <v>0</v>
      </c>
      <c r="AB206" t="s">
        <v>606</v>
      </c>
    </row>
    <row r="207" spans="1:28" x14ac:dyDescent="0.25">
      <c r="A207" s="2">
        <v>46082</v>
      </c>
      <c r="B207" t="s">
        <v>607</v>
      </c>
      <c r="C207" t="s">
        <v>257</v>
      </c>
      <c r="D207" t="s">
        <v>253</v>
      </c>
      <c r="E207" t="s">
        <v>44</v>
      </c>
      <c r="F207" t="s">
        <v>254</v>
      </c>
      <c r="G207" t="s">
        <v>258</v>
      </c>
      <c r="H207">
        <v>1</v>
      </c>
      <c r="I207">
        <v>1000</v>
      </c>
      <c r="J207">
        <v>0</v>
      </c>
      <c r="K207">
        <v>1000</v>
      </c>
      <c r="L207">
        <v>0</v>
      </c>
      <c r="M207">
        <v>0</v>
      </c>
      <c r="N207">
        <v>0</v>
      </c>
      <c r="O207" t="s">
        <v>30</v>
      </c>
      <c r="P207" t="s">
        <v>31</v>
      </c>
      <c r="Q207">
        <v>0</v>
      </c>
      <c r="S207" t="s">
        <v>32</v>
      </c>
      <c r="U207">
        <v>0</v>
      </c>
      <c r="W207">
        <v>99.9</v>
      </c>
      <c r="X207">
        <v>99.9</v>
      </c>
      <c r="Y207" t="s">
        <v>605</v>
      </c>
      <c r="Z207">
        <v>0</v>
      </c>
      <c r="AB207" t="s">
        <v>606</v>
      </c>
    </row>
    <row r="208" spans="1:28" x14ac:dyDescent="0.25">
      <c r="A208" s="2">
        <v>46082</v>
      </c>
      <c r="B208" t="s">
        <v>608</v>
      </c>
      <c r="C208" t="s">
        <v>257</v>
      </c>
      <c r="D208" t="s">
        <v>253</v>
      </c>
      <c r="E208" t="s">
        <v>44</v>
      </c>
      <c r="F208" t="s">
        <v>254</v>
      </c>
      <c r="G208" t="s">
        <v>258</v>
      </c>
      <c r="H208">
        <v>1</v>
      </c>
      <c r="I208">
        <v>1000</v>
      </c>
      <c r="J208">
        <v>0</v>
      </c>
      <c r="K208">
        <v>1000</v>
      </c>
      <c r="L208">
        <v>0</v>
      </c>
      <c r="M208">
        <v>0</v>
      </c>
      <c r="N208">
        <v>0</v>
      </c>
      <c r="O208" t="s">
        <v>30</v>
      </c>
      <c r="P208" t="s">
        <v>31</v>
      </c>
      <c r="Q208">
        <v>0</v>
      </c>
      <c r="S208" t="s">
        <v>32</v>
      </c>
      <c r="U208">
        <v>0</v>
      </c>
      <c r="W208">
        <v>99.9</v>
      </c>
      <c r="X208">
        <v>99.9</v>
      </c>
      <c r="Y208" t="s">
        <v>605</v>
      </c>
      <c r="Z208">
        <v>0</v>
      </c>
      <c r="AB208" t="s">
        <v>606</v>
      </c>
    </row>
    <row r="209" spans="1:28" x14ac:dyDescent="0.25">
      <c r="A209" s="2">
        <v>46082</v>
      </c>
      <c r="B209" t="s">
        <v>609</v>
      </c>
      <c r="C209" t="s">
        <v>257</v>
      </c>
      <c r="D209" t="s">
        <v>253</v>
      </c>
      <c r="E209" t="s">
        <v>44</v>
      </c>
      <c r="F209" t="s">
        <v>254</v>
      </c>
      <c r="G209" t="s">
        <v>258</v>
      </c>
      <c r="H209">
        <v>1</v>
      </c>
      <c r="I209">
        <v>1000</v>
      </c>
      <c r="J209">
        <v>0</v>
      </c>
      <c r="K209">
        <v>1000</v>
      </c>
      <c r="L209">
        <v>0</v>
      </c>
      <c r="M209">
        <v>0</v>
      </c>
      <c r="N209">
        <v>0</v>
      </c>
      <c r="O209" t="s">
        <v>30</v>
      </c>
      <c r="P209" t="s">
        <v>31</v>
      </c>
      <c r="Q209">
        <v>0</v>
      </c>
      <c r="S209" t="s">
        <v>32</v>
      </c>
      <c r="U209">
        <v>0</v>
      </c>
      <c r="W209">
        <v>99.9</v>
      </c>
      <c r="X209">
        <v>99.9</v>
      </c>
      <c r="Y209" t="s">
        <v>605</v>
      </c>
      <c r="Z209">
        <v>0</v>
      </c>
      <c r="AB209" t="s">
        <v>606</v>
      </c>
    </row>
    <row r="210" spans="1:28" x14ac:dyDescent="0.25">
      <c r="A210" s="2">
        <v>46082</v>
      </c>
      <c r="B210" t="s">
        <v>610</v>
      </c>
      <c r="C210" t="s">
        <v>257</v>
      </c>
      <c r="D210" t="s">
        <v>253</v>
      </c>
      <c r="E210" t="s">
        <v>44</v>
      </c>
      <c r="F210" t="s">
        <v>254</v>
      </c>
      <c r="G210" t="s">
        <v>258</v>
      </c>
      <c r="H210">
        <v>1</v>
      </c>
      <c r="I210">
        <v>1000</v>
      </c>
      <c r="J210">
        <v>0</v>
      </c>
      <c r="K210">
        <v>1000</v>
      </c>
      <c r="L210">
        <v>0</v>
      </c>
      <c r="M210">
        <v>0</v>
      </c>
      <c r="N210">
        <v>0</v>
      </c>
      <c r="O210" t="s">
        <v>30</v>
      </c>
      <c r="P210" t="s">
        <v>31</v>
      </c>
      <c r="Q210">
        <v>0</v>
      </c>
      <c r="S210" t="s">
        <v>32</v>
      </c>
      <c r="U210">
        <v>0</v>
      </c>
      <c r="W210">
        <v>99.9</v>
      </c>
      <c r="X210">
        <v>99.9</v>
      </c>
      <c r="Y210" t="s">
        <v>605</v>
      </c>
      <c r="Z210">
        <v>0</v>
      </c>
      <c r="AB210" t="s">
        <v>606</v>
      </c>
    </row>
    <row r="211" spans="1:28" x14ac:dyDescent="0.25">
      <c r="A211" s="2">
        <v>46082</v>
      </c>
      <c r="B211" t="s">
        <v>611</v>
      </c>
      <c r="C211" t="s">
        <v>257</v>
      </c>
      <c r="D211" t="s">
        <v>253</v>
      </c>
      <c r="E211" t="s">
        <v>44</v>
      </c>
      <c r="F211" t="s">
        <v>254</v>
      </c>
      <c r="G211" t="s">
        <v>258</v>
      </c>
      <c r="H211">
        <v>1</v>
      </c>
      <c r="I211">
        <v>1000</v>
      </c>
      <c r="J211">
        <v>0</v>
      </c>
      <c r="K211">
        <v>1000</v>
      </c>
      <c r="L211">
        <v>0</v>
      </c>
      <c r="M211">
        <v>0</v>
      </c>
      <c r="N211">
        <v>0</v>
      </c>
      <c r="O211" t="s">
        <v>30</v>
      </c>
      <c r="P211" t="s">
        <v>31</v>
      </c>
      <c r="Q211">
        <v>0</v>
      </c>
      <c r="S211" t="s">
        <v>32</v>
      </c>
      <c r="U211">
        <v>0</v>
      </c>
      <c r="W211">
        <v>99.9</v>
      </c>
      <c r="X211">
        <v>99.9</v>
      </c>
      <c r="Y211" t="s">
        <v>605</v>
      </c>
      <c r="Z211">
        <v>0</v>
      </c>
      <c r="AB211" t="s">
        <v>606</v>
      </c>
    </row>
    <row r="212" spans="1:28" x14ac:dyDescent="0.25">
      <c r="A212" s="2">
        <v>46082</v>
      </c>
      <c r="B212" t="s">
        <v>612</v>
      </c>
      <c r="C212" t="s">
        <v>257</v>
      </c>
      <c r="D212" t="s">
        <v>253</v>
      </c>
      <c r="E212" t="s">
        <v>44</v>
      </c>
      <c r="F212" t="s">
        <v>254</v>
      </c>
      <c r="G212" t="s">
        <v>258</v>
      </c>
      <c r="H212">
        <v>1</v>
      </c>
      <c r="I212">
        <v>1000</v>
      </c>
      <c r="J212">
        <v>0</v>
      </c>
      <c r="K212">
        <v>1000</v>
      </c>
      <c r="L212">
        <v>0</v>
      </c>
      <c r="M212">
        <v>0</v>
      </c>
      <c r="N212">
        <v>0</v>
      </c>
      <c r="O212" t="s">
        <v>30</v>
      </c>
      <c r="P212" t="s">
        <v>31</v>
      </c>
      <c r="Q212">
        <v>0</v>
      </c>
      <c r="S212" t="s">
        <v>32</v>
      </c>
      <c r="U212">
        <v>0</v>
      </c>
      <c r="W212">
        <v>99.9</v>
      </c>
      <c r="X212">
        <v>99.9</v>
      </c>
      <c r="Y212" t="s">
        <v>605</v>
      </c>
      <c r="Z212">
        <v>0</v>
      </c>
      <c r="AB212" t="s">
        <v>606</v>
      </c>
    </row>
    <row r="213" spans="1:28" x14ac:dyDescent="0.25">
      <c r="A213" s="2">
        <v>46082</v>
      </c>
      <c r="B213" t="s">
        <v>613</v>
      </c>
      <c r="C213" t="s">
        <v>257</v>
      </c>
      <c r="D213" t="s">
        <v>253</v>
      </c>
      <c r="E213" t="s">
        <v>44</v>
      </c>
      <c r="F213" t="s">
        <v>254</v>
      </c>
      <c r="G213" t="s">
        <v>258</v>
      </c>
      <c r="H213">
        <v>1</v>
      </c>
      <c r="I213">
        <v>1000</v>
      </c>
      <c r="J213">
        <v>0</v>
      </c>
      <c r="K213">
        <v>1000</v>
      </c>
      <c r="L213">
        <v>0</v>
      </c>
      <c r="M213">
        <v>0</v>
      </c>
      <c r="N213">
        <v>0</v>
      </c>
      <c r="O213" t="s">
        <v>30</v>
      </c>
      <c r="P213" t="s">
        <v>31</v>
      </c>
      <c r="Q213">
        <v>0</v>
      </c>
      <c r="S213" t="s">
        <v>32</v>
      </c>
      <c r="U213">
        <v>0</v>
      </c>
      <c r="W213">
        <v>99.9</v>
      </c>
      <c r="X213">
        <v>99.9</v>
      </c>
      <c r="Y213" t="s">
        <v>605</v>
      </c>
      <c r="Z213">
        <v>0</v>
      </c>
      <c r="AB213" t="s">
        <v>606</v>
      </c>
    </row>
    <row r="214" spans="1:28" x14ac:dyDescent="0.25">
      <c r="A214" s="2">
        <v>46082</v>
      </c>
      <c r="B214" t="s">
        <v>614</v>
      </c>
      <c r="C214" t="s">
        <v>257</v>
      </c>
      <c r="D214" t="s">
        <v>253</v>
      </c>
      <c r="E214" t="s">
        <v>44</v>
      </c>
      <c r="F214" t="s">
        <v>254</v>
      </c>
      <c r="G214" t="s">
        <v>258</v>
      </c>
      <c r="H214">
        <v>1</v>
      </c>
      <c r="I214">
        <v>1000</v>
      </c>
      <c r="J214">
        <v>0</v>
      </c>
      <c r="K214">
        <v>1000</v>
      </c>
      <c r="L214">
        <v>0</v>
      </c>
      <c r="M214">
        <v>0</v>
      </c>
      <c r="N214">
        <v>0</v>
      </c>
      <c r="O214" t="s">
        <v>30</v>
      </c>
      <c r="P214" t="s">
        <v>31</v>
      </c>
      <c r="Q214">
        <v>0</v>
      </c>
      <c r="S214" t="s">
        <v>32</v>
      </c>
      <c r="U214">
        <v>0</v>
      </c>
      <c r="W214">
        <v>99.9</v>
      </c>
      <c r="X214">
        <v>99.9</v>
      </c>
      <c r="Y214" t="s">
        <v>605</v>
      </c>
      <c r="Z214">
        <v>0</v>
      </c>
      <c r="AB214" t="s">
        <v>606</v>
      </c>
    </row>
    <row r="215" spans="1:28" x14ac:dyDescent="0.25">
      <c r="A215" s="2">
        <v>46082</v>
      </c>
      <c r="B215" t="s">
        <v>615</v>
      </c>
      <c r="C215" t="s">
        <v>257</v>
      </c>
      <c r="D215" t="s">
        <v>253</v>
      </c>
      <c r="E215" t="s">
        <v>44</v>
      </c>
      <c r="F215" t="s">
        <v>254</v>
      </c>
      <c r="G215" t="s">
        <v>258</v>
      </c>
      <c r="H215">
        <v>1</v>
      </c>
      <c r="I215">
        <v>1000</v>
      </c>
      <c r="J215">
        <v>0</v>
      </c>
      <c r="K215">
        <v>1000</v>
      </c>
      <c r="L215">
        <v>0</v>
      </c>
      <c r="M215">
        <v>0</v>
      </c>
      <c r="N215">
        <v>0</v>
      </c>
      <c r="O215" t="s">
        <v>30</v>
      </c>
      <c r="P215" t="s">
        <v>31</v>
      </c>
      <c r="Q215">
        <v>0</v>
      </c>
      <c r="S215" t="s">
        <v>32</v>
      </c>
      <c r="U215">
        <v>0</v>
      </c>
      <c r="W215">
        <v>99.9</v>
      </c>
      <c r="X215">
        <v>99.9</v>
      </c>
      <c r="Y215" t="s">
        <v>605</v>
      </c>
      <c r="Z215">
        <v>0</v>
      </c>
      <c r="AB215" t="s">
        <v>606</v>
      </c>
    </row>
    <row r="216" spans="1:28" x14ac:dyDescent="0.25">
      <c r="A216" s="2">
        <v>46082</v>
      </c>
      <c r="B216" t="s">
        <v>616</v>
      </c>
      <c r="C216" t="s">
        <v>257</v>
      </c>
      <c r="D216" t="s">
        <v>253</v>
      </c>
      <c r="E216" t="s">
        <v>44</v>
      </c>
      <c r="F216" t="s">
        <v>254</v>
      </c>
      <c r="G216" t="s">
        <v>258</v>
      </c>
      <c r="H216">
        <v>1</v>
      </c>
      <c r="I216">
        <v>1000</v>
      </c>
      <c r="J216">
        <v>0</v>
      </c>
      <c r="K216">
        <v>1000</v>
      </c>
      <c r="L216">
        <v>0</v>
      </c>
      <c r="M216">
        <v>0</v>
      </c>
      <c r="N216">
        <v>0</v>
      </c>
      <c r="O216" t="s">
        <v>30</v>
      </c>
      <c r="P216" t="s">
        <v>31</v>
      </c>
      <c r="Q216">
        <v>0</v>
      </c>
      <c r="S216" t="s">
        <v>32</v>
      </c>
      <c r="U216">
        <v>0</v>
      </c>
      <c r="W216">
        <v>99.9</v>
      </c>
      <c r="X216">
        <v>99.9</v>
      </c>
      <c r="Y216" t="s">
        <v>605</v>
      </c>
      <c r="Z216">
        <v>0</v>
      </c>
      <c r="AB216" t="s">
        <v>606</v>
      </c>
    </row>
    <row r="217" spans="1:28" x14ac:dyDescent="0.25">
      <c r="A217" s="2">
        <v>46082</v>
      </c>
      <c r="B217" t="s">
        <v>617</v>
      </c>
      <c r="C217" t="s">
        <v>257</v>
      </c>
      <c r="D217" t="s">
        <v>253</v>
      </c>
      <c r="E217" t="s">
        <v>44</v>
      </c>
      <c r="F217" t="s">
        <v>254</v>
      </c>
      <c r="G217" t="s">
        <v>258</v>
      </c>
      <c r="H217">
        <v>1</v>
      </c>
      <c r="I217">
        <v>1000</v>
      </c>
      <c r="J217">
        <v>0</v>
      </c>
      <c r="K217">
        <v>1000</v>
      </c>
      <c r="L217">
        <v>0</v>
      </c>
      <c r="M217">
        <v>0</v>
      </c>
      <c r="N217">
        <v>0</v>
      </c>
      <c r="O217" t="s">
        <v>30</v>
      </c>
      <c r="P217" t="s">
        <v>31</v>
      </c>
      <c r="Q217">
        <v>0</v>
      </c>
      <c r="S217" t="s">
        <v>32</v>
      </c>
      <c r="U217">
        <v>0</v>
      </c>
      <c r="W217">
        <v>99.9</v>
      </c>
      <c r="X217">
        <v>99.9</v>
      </c>
      <c r="Y217" t="s">
        <v>605</v>
      </c>
      <c r="Z217">
        <v>0</v>
      </c>
      <c r="AB217" t="s">
        <v>606</v>
      </c>
    </row>
    <row r="218" spans="1:28" x14ac:dyDescent="0.25">
      <c r="A218" s="2">
        <v>46082</v>
      </c>
      <c r="B218" t="s">
        <v>618</v>
      </c>
      <c r="C218" t="s">
        <v>255</v>
      </c>
      <c r="D218" t="s">
        <v>253</v>
      </c>
      <c r="E218" t="s">
        <v>44</v>
      </c>
      <c r="F218" t="s">
        <v>254</v>
      </c>
      <c r="G218" t="s">
        <v>256</v>
      </c>
      <c r="H218">
        <v>1</v>
      </c>
      <c r="I218">
        <v>500</v>
      </c>
      <c r="J218">
        <v>0</v>
      </c>
      <c r="K218">
        <v>500</v>
      </c>
      <c r="L218">
        <v>0</v>
      </c>
      <c r="M218">
        <v>0</v>
      </c>
      <c r="N218">
        <v>0</v>
      </c>
      <c r="O218" t="s">
        <v>30</v>
      </c>
      <c r="P218" t="s">
        <v>31</v>
      </c>
      <c r="Q218">
        <v>0</v>
      </c>
      <c r="S218" t="s">
        <v>32</v>
      </c>
      <c r="U218">
        <v>0</v>
      </c>
      <c r="W218">
        <v>99.9</v>
      </c>
      <c r="X218">
        <v>99.9</v>
      </c>
      <c r="Y218" t="s">
        <v>619</v>
      </c>
      <c r="Z218">
        <v>0</v>
      </c>
      <c r="AB218" t="s">
        <v>606</v>
      </c>
    </row>
    <row r="219" spans="1:28" x14ac:dyDescent="0.25">
      <c r="A219" s="2">
        <v>46082</v>
      </c>
      <c r="B219" t="s">
        <v>620</v>
      </c>
      <c r="C219" t="s">
        <v>255</v>
      </c>
      <c r="D219" t="s">
        <v>253</v>
      </c>
      <c r="E219" t="s">
        <v>44</v>
      </c>
      <c r="F219" t="s">
        <v>254</v>
      </c>
      <c r="G219" t="s">
        <v>256</v>
      </c>
      <c r="H219">
        <v>1</v>
      </c>
      <c r="I219">
        <v>500</v>
      </c>
      <c r="J219">
        <v>0</v>
      </c>
      <c r="K219">
        <v>500</v>
      </c>
      <c r="L219">
        <v>0</v>
      </c>
      <c r="M219">
        <v>0</v>
      </c>
      <c r="N219">
        <v>0</v>
      </c>
      <c r="O219" t="s">
        <v>30</v>
      </c>
      <c r="P219" t="s">
        <v>31</v>
      </c>
      <c r="Q219">
        <v>0</v>
      </c>
      <c r="S219" t="s">
        <v>32</v>
      </c>
      <c r="U219">
        <v>0</v>
      </c>
      <c r="W219">
        <v>99.9</v>
      </c>
      <c r="X219">
        <v>99.9</v>
      </c>
      <c r="Y219" t="s">
        <v>619</v>
      </c>
      <c r="Z219">
        <v>0</v>
      </c>
      <c r="AB219" t="s">
        <v>606</v>
      </c>
    </row>
    <row r="220" spans="1:28" x14ac:dyDescent="0.25">
      <c r="A220" s="2">
        <v>46082</v>
      </c>
      <c r="B220" t="s">
        <v>621</v>
      </c>
      <c r="C220" t="s">
        <v>255</v>
      </c>
      <c r="D220" t="s">
        <v>253</v>
      </c>
      <c r="E220" t="s">
        <v>44</v>
      </c>
      <c r="F220" t="s">
        <v>254</v>
      </c>
      <c r="G220" t="s">
        <v>256</v>
      </c>
      <c r="H220">
        <v>1</v>
      </c>
      <c r="I220">
        <v>500</v>
      </c>
      <c r="J220">
        <v>0</v>
      </c>
      <c r="K220">
        <v>500</v>
      </c>
      <c r="L220">
        <v>0</v>
      </c>
      <c r="M220">
        <v>0</v>
      </c>
      <c r="N220">
        <v>0</v>
      </c>
      <c r="O220" t="s">
        <v>30</v>
      </c>
      <c r="P220" t="s">
        <v>31</v>
      </c>
      <c r="Q220">
        <v>0</v>
      </c>
      <c r="S220" t="s">
        <v>32</v>
      </c>
      <c r="U220">
        <v>0</v>
      </c>
      <c r="W220">
        <v>99.9</v>
      </c>
      <c r="X220">
        <v>99.9</v>
      </c>
      <c r="Y220" t="s">
        <v>619</v>
      </c>
      <c r="Z220">
        <v>0</v>
      </c>
      <c r="AB220" t="s">
        <v>606</v>
      </c>
    </row>
    <row r="221" spans="1:28" x14ac:dyDescent="0.25">
      <c r="A221" s="2">
        <v>46082</v>
      </c>
      <c r="B221" t="s">
        <v>622</v>
      </c>
      <c r="C221" t="s">
        <v>255</v>
      </c>
      <c r="D221" t="s">
        <v>253</v>
      </c>
      <c r="E221" t="s">
        <v>44</v>
      </c>
      <c r="F221" t="s">
        <v>254</v>
      </c>
      <c r="G221" t="s">
        <v>256</v>
      </c>
      <c r="H221">
        <v>1</v>
      </c>
      <c r="I221">
        <v>500</v>
      </c>
      <c r="J221">
        <v>0</v>
      </c>
      <c r="K221">
        <v>500</v>
      </c>
      <c r="L221">
        <v>0</v>
      </c>
      <c r="M221">
        <v>0</v>
      </c>
      <c r="N221">
        <v>0</v>
      </c>
      <c r="O221" t="s">
        <v>30</v>
      </c>
      <c r="P221" t="s">
        <v>31</v>
      </c>
      <c r="Q221">
        <v>0</v>
      </c>
      <c r="S221" t="s">
        <v>32</v>
      </c>
      <c r="U221">
        <v>0</v>
      </c>
      <c r="W221">
        <v>99.9</v>
      </c>
      <c r="X221">
        <v>99.9</v>
      </c>
      <c r="Y221" t="s">
        <v>619</v>
      </c>
      <c r="Z221">
        <v>0</v>
      </c>
      <c r="AB221" t="s">
        <v>606</v>
      </c>
    </row>
    <row r="222" spans="1:28" x14ac:dyDescent="0.25">
      <c r="A222" s="2">
        <v>46082</v>
      </c>
      <c r="B222" t="s">
        <v>623</v>
      </c>
      <c r="C222" t="s">
        <v>255</v>
      </c>
      <c r="D222" t="s">
        <v>253</v>
      </c>
      <c r="E222" t="s">
        <v>44</v>
      </c>
      <c r="F222" t="s">
        <v>254</v>
      </c>
      <c r="G222" t="s">
        <v>256</v>
      </c>
      <c r="H222">
        <v>1</v>
      </c>
      <c r="I222">
        <v>500</v>
      </c>
      <c r="J222">
        <v>0</v>
      </c>
      <c r="K222">
        <v>500</v>
      </c>
      <c r="L222">
        <v>0</v>
      </c>
      <c r="M222">
        <v>0</v>
      </c>
      <c r="N222">
        <v>0</v>
      </c>
      <c r="O222" t="s">
        <v>30</v>
      </c>
      <c r="P222" t="s">
        <v>31</v>
      </c>
      <c r="Q222">
        <v>0</v>
      </c>
      <c r="S222" t="s">
        <v>32</v>
      </c>
      <c r="U222">
        <v>0</v>
      </c>
      <c r="W222">
        <v>99.9</v>
      </c>
      <c r="X222">
        <v>99.9</v>
      </c>
      <c r="Y222" t="s">
        <v>619</v>
      </c>
      <c r="Z222">
        <v>0</v>
      </c>
      <c r="AB222" t="s">
        <v>606</v>
      </c>
    </row>
    <row r="223" spans="1:28" x14ac:dyDescent="0.25">
      <c r="A223" s="2">
        <v>46082</v>
      </c>
      <c r="B223" t="s">
        <v>624</v>
      </c>
      <c r="C223" t="s">
        <v>255</v>
      </c>
      <c r="D223" t="s">
        <v>253</v>
      </c>
      <c r="E223" t="s">
        <v>44</v>
      </c>
      <c r="F223" t="s">
        <v>254</v>
      </c>
      <c r="G223" t="s">
        <v>256</v>
      </c>
      <c r="H223">
        <v>1</v>
      </c>
      <c r="I223">
        <v>500</v>
      </c>
      <c r="J223">
        <v>0</v>
      </c>
      <c r="K223">
        <v>500</v>
      </c>
      <c r="L223">
        <v>0</v>
      </c>
      <c r="M223">
        <v>0</v>
      </c>
      <c r="N223">
        <v>0</v>
      </c>
      <c r="O223" t="s">
        <v>30</v>
      </c>
      <c r="P223" t="s">
        <v>31</v>
      </c>
      <c r="Q223">
        <v>0</v>
      </c>
      <c r="S223" t="s">
        <v>32</v>
      </c>
      <c r="U223">
        <v>0</v>
      </c>
      <c r="W223">
        <v>99.9</v>
      </c>
      <c r="X223">
        <v>99.9</v>
      </c>
      <c r="Y223" t="s">
        <v>619</v>
      </c>
      <c r="Z223">
        <v>0</v>
      </c>
      <c r="AB223" t="s">
        <v>606</v>
      </c>
    </row>
    <row r="224" spans="1:28" x14ac:dyDescent="0.25">
      <c r="A224" s="2">
        <v>46082</v>
      </c>
      <c r="B224" t="s">
        <v>625</v>
      </c>
      <c r="C224" t="s">
        <v>626</v>
      </c>
      <c r="D224" t="s">
        <v>57</v>
      </c>
      <c r="E224" t="s">
        <v>53</v>
      </c>
      <c r="F224" t="s">
        <v>58</v>
      </c>
      <c r="G224" t="s">
        <v>250</v>
      </c>
      <c r="H224">
        <v>1</v>
      </c>
      <c r="I224">
        <v>50.8</v>
      </c>
      <c r="J224">
        <v>6</v>
      </c>
      <c r="K224">
        <v>44.8</v>
      </c>
      <c r="L224">
        <v>450</v>
      </c>
      <c r="M224">
        <v>58</v>
      </c>
      <c r="N224">
        <v>0</v>
      </c>
      <c r="O224" t="s">
        <v>251</v>
      </c>
      <c r="P224" t="s">
        <v>31</v>
      </c>
      <c r="Q224">
        <v>0</v>
      </c>
      <c r="S224" t="s">
        <v>32</v>
      </c>
      <c r="U224">
        <v>0</v>
      </c>
      <c r="W224">
        <v>0</v>
      </c>
      <c r="X224">
        <v>0</v>
      </c>
      <c r="Y224" t="s">
        <v>627</v>
      </c>
      <c r="Z224">
        <v>0</v>
      </c>
      <c r="AB224" t="s">
        <v>61</v>
      </c>
    </row>
    <row r="225" spans="1:28" x14ac:dyDescent="0.25">
      <c r="A225" s="2">
        <v>46082</v>
      </c>
      <c r="B225" t="s">
        <v>628</v>
      </c>
      <c r="C225" t="s">
        <v>629</v>
      </c>
      <c r="D225" t="s">
        <v>57</v>
      </c>
      <c r="E225" t="s">
        <v>53</v>
      </c>
      <c r="F225" t="s">
        <v>58</v>
      </c>
      <c r="G225" t="s">
        <v>250</v>
      </c>
      <c r="H225">
        <v>1</v>
      </c>
      <c r="I225">
        <v>57.6</v>
      </c>
      <c r="J225">
        <v>8.5</v>
      </c>
      <c r="K225">
        <v>49.1</v>
      </c>
      <c r="L225">
        <v>450</v>
      </c>
      <c r="M225">
        <v>58</v>
      </c>
      <c r="N225">
        <v>0</v>
      </c>
      <c r="O225" t="s">
        <v>251</v>
      </c>
      <c r="P225" t="s">
        <v>31</v>
      </c>
      <c r="Q225">
        <v>0</v>
      </c>
      <c r="S225" t="s">
        <v>32</v>
      </c>
      <c r="U225">
        <v>0</v>
      </c>
      <c r="W225">
        <v>0</v>
      </c>
      <c r="X225">
        <v>0</v>
      </c>
      <c r="Y225" t="s">
        <v>630</v>
      </c>
      <c r="Z225">
        <v>0</v>
      </c>
      <c r="AB225" t="s">
        <v>61</v>
      </c>
    </row>
    <row r="226" spans="1:28" x14ac:dyDescent="0.25">
      <c r="A226" s="2">
        <v>46082</v>
      </c>
      <c r="B226" t="s">
        <v>631</v>
      </c>
      <c r="C226" t="s">
        <v>372</v>
      </c>
      <c r="D226" t="s">
        <v>57</v>
      </c>
      <c r="E226" t="s">
        <v>53</v>
      </c>
      <c r="F226" t="s">
        <v>58</v>
      </c>
      <c r="G226" t="s">
        <v>250</v>
      </c>
      <c r="H226">
        <v>1</v>
      </c>
      <c r="I226">
        <v>60.2</v>
      </c>
      <c r="J226">
        <v>8</v>
      </c>
      <c r="K226">
        <v>52.2</v>
      </c>
      <c r="L226">
        <v>470</v>
      </c>
      <c r="M226">
        <v>58</v>
      </c>
      <c r="N226">
        <v>0</v>
      </c>
      <c r="O226" t="s">
        <v>251</v>
      </c>
      <c r="P226" t="s">
        <v>31</v>
      </c>
      <c r="Q226">
        <v>0</v>
      </c>
      <c r="S226" t="s">
        <v>32</v>
      </c>
      <c r="U226">
        <v>0</v>
      </c>
      <c r="W226">
        <v>0</v>
      </c>
      <c r="X226">
        <v>0</v>
      </c>
      <c r="Y226" t="s">
        <v>632</v>
      </c>
      <c r="Z226">
        <v>0</v>
      </c>
      <c r="AB226" t="s">
        <v>61</v>
      </c>
    </row>
    <row r="227" spans="1:28" x14ac:dyDescent="0.25">
      <c r="A227" s="2">
        <v>46082</v>
      </c>
      <c r="B227" t="s">
        <v>633</v>
      </c>
      <c r="C227" t="s">
        <v>634</v>
      </c>
      <c r="D227" t="s">
        <v>57</v>
      </c>
      <c r="E227" t="s">
        <v>53</v>
      </c>
      <c r="F227" t="s">
        <v>58</v>
      </c>
      <c r="G227" t="s">
        <v>250</v>
      </c>
      <c r="H227">
        <v>1</v>
      </c>
      <c r="I227">
        <v>59.4</v>
      </c>
      <c r="J227">
        <v>6</v>
      </c>
      <c r="K227">
        <v>53.4</v>
      </c>
      <c r="L227">
        <v>470</v>
      </c>
      <c r="M227">
        <v>58</v>
      </c>
      <c r="N227">
        <v>0</v>
      </c>
      <c r="O227" t="s">
        <v>251</v>
      </c>
      <c r="P227" t="s">
        <v>31</v>
      </c>
      <c r="Q227">
        <v>0</v>
      </c>
      <c r="S227" t="s">
        <v>32</v>
      </c>
      <c r="U227">
        <v>0</v>
      </c>
      <c r="W227">
        <v>0</v>
      </c>
      <c r="X227">
        <v>0</v>
      </c>
      <c r="Y227" t="s">
        <v>635</v>
      </c>
      <c r="Z227">
        <v>0</v>
      </c>
      <c r="AB227" t="s">
        <v>61</v>
      </c>
    </row>
    <row r="228" spans="1:28" x14ac:dyDescent="0.25">
      <c r="A228" s="2">
        <v>46082</v>
      </c>
      <c r="B228" t="s">
        <v>636</v>
      </c>
      <c r="C228" t="s">
        <v>637</v>
      </c>
      <c r="D228" t="s">
        <v>57</v>
      </c>
      <c r="E228" t="s">
        <v>53</v>
      </c>
      <c r="F228" t="s">
        <v>58</v>
      </c>
      <c r="G228" t="s">
        <v>250</v>
      </c>
      <c r="H228">
        <v>1</v>
      </c>
      <c r="I228">
        <v>74.2</v>
      </c>
      <c r="J228">
        <v>9.5</v>
      </c>
      <c r="K228">
        <v>64.7</v>
      </c>
      <c r="L228">
        <v>550</v>
      </c>
      <c r="M228">
        <v>58</v>
      </c>
      <c r="N228">
        <v>0</v>
      </c>
      <c r="O228" t="s">
        <v>251</v>
      </c>
      <c r="P228" t="s">
        <v>31</v>
      </c>
      <c r="Q228">
        <v>0</v>
      </c>
      <c r="S228" t="s">
        <v>32</v>
      </c>
      <c r="U228">
        <v>0</v>
      </c>
      <c r="W228">
        <v>0</v>
      </c>
      <c r="X228">
        <v>0</v>
      </c>
      <c r="Y228" t="s">
        <v>638</v>
      </c>
      <c r="Z228">
        <v>0</v>
      </c>
      <c r="AB228" t="s">
        <v>61</v>
      </c>
    </row>
    <row r="229" spans="1:28" x14ac:dyDescent="0.25">
      <c r="A229" s="2">
        <v>46082</v>
      </c>
      <c r="B229" t="s">
        <v>639</v>
      </c>
      <c r="C229" t="s">
        <v>640</v>
      </c>
      <c r="D229" t="s">
        <v>57</v>
      </c>
      <c r="E229" t="s">
        <v>53</v>
      </c>
      <c r="F229" t="s">
        <v>58</v>
      </c>
      <c r="G229" t="s">
        <v>250</v>
      </c>
      <c r="H229">
        <v>1</v>
      </c>
      <c r="I229">
        <v>85.4</v>
      </c>
      <c r="J229">
        <v>18.5</v>
      </c>
      <c r="K229">
        <v>66.900000000000006</v>
      </c>
      <c r="L229">
        <v>550</v>
      </c>
      <c r="M229">
        <v>58</v>
      </c>
      <c r="N229">
        <v>0</v>
      </c>
      <c r="O229" t="s">
        <v>251</v>
      </c>
      <c r="P229" t="s">
        <v>31</v>
      </c>
      <c r="Q229">
        <v>0</v>
      </c>
      <c r="S229" t="s">
        <v>32</v>
      </c>
      <c r="U229">
        <v>0</v>
      </c>
      <c r="W229">
        <v>0</v>
      </c>
      <c r="X229">
        <v>0</v>
      </c>
      <c r="Y229" t="s">
        <v>641</v>
      </c>
      <c r="Z229">
        <v>0</v>
      </c>
      <c r="AB229" t="s">
        <v>61</v>
      </c>
    </row>
    <row r="230" spans="1:28" x14ac:dyDescent="0.25">
      <c r="A230" s="2">
        <v>46082</v>
      </c>
      <c r="B230" t="s">
        <v>642</v>
      </c>
      <c r="C230" t="s">
        <v>643</v>
      </c>
      <c r="D230" t="s">
        <v>57</v>
      </c>
      <c r="E230" t="s">
        <v>53</v>
      </c>
      <c r="F230" t="s">
        <v>58</v>
      </c>
      <c r="G230" t="s">
        <v>250</v>
      </c>
      <c r="H230">
        <v>1</v>
      </c>
      <c r="I230">
        <v>89.6</v>
      </c>
      <c r="J230">
        <v>24</v>
      </c>
      <c r="K230">
        <v>65.599999999999994</v>
      </c>
      <c r="L230">
        <v>550</v>
      </c>
      <c r="M230">
        <v>58</v>
      </c>
      <c r="N230">
        <v>0</v>
      </c>
      <c r="O230" t="s">
        <v>251</v>
      </c>
      <c r="P230" t="s">
        <v>31</v>
      </c>
      <c r="Q230">
        <v>0</v>
      </c>
      <c r="S230" t="s">
        <v>32</v>
      </c>
      <c r="U230">
        <v>0</v>
      </c>
      <c r="W230">
        <v>0</v>
      </c>
      <c r="X230">
        <v>0</v>
      </c>
      <c r="Y230" t="s">
        <v>644</v>
      </c>
      <c r="Z230">
        <v>0</v>
      </c>
      <c r="AB230" t="s">
        <v>61</v>
      </c>
    </row>
    <row r="231" spans="1:28" x14ac:dyDescent="0.25">
      <c r="A231" s="2">
        <v>46082</v>
      </c>
      <c r="B231" t="s">
        <v>645</v>
      </c>
      <c r="C231" t="s">
        <v>646</v>
      </c>
      <c r="D231" t="s">
        <v>57</v>
      </c>
      <c r="E231" t="s">
        <v>53</v>
      </c>
      <c r="F231" t="s">
        <v>58</v>
      </c>
      <c r="G231" t="s">
        <v>250</v>
      </c>
      <c r="H231">
        <v>1</v>
      </c>
      <c r="I231">
        <v>88.2</v>
      </c>
      <c r="J231">
        <v>24.5</v>
      </c>
      <c r="K231">
        <v>63.7</v>
      </c>
      <c r="L231">
        <v>550</v>
      </c>
      <c r="M231">
        <v>58</v>
      </c>
      <c r="N231">
        <v>0</v>
      </c>
      <c r="O231" t="s">
        <v>251</v>
      </c>
      <c r="P231" t="s">
        <v>31</v>
      </c>
      <c r="Q231">
        <v>0</v>
      </c>
      <c r="S231" t="s">
        <v>32</v>
      </c>
      <c r="U231">
        <v>0</v>
      </c>
      <c r="W231">
        <v>0</v>
      </c>
      <c r="X231">
        <v>0</v>
      </c>
      <c r="Y231" t="s">
        <v>647</v>
      </c>
      <c r="Z231">
        <v>0</v>
      </c>
      <c r="AB231" t="s">
        <v>61</v>
      </c>
    </row>
    <row r="232" spans="1:28" x14ac:dyDescent="0.25">
      <c r="A232" s="2">
        <v>46082</v>
      </c>
      <c r="B232" t="s">
        <v>648</v>
      </c>
      <c r="C232" t="s">
        <v>649</v>
      </c>
      <c r="D232" t="s">
        <v>57</v>
      </c>
      <c r="E232" t="s">
        <v>53</v>
      </c>
      <c r="F232" t="s">
        <v>58</v>
      </c>
      <c r="G232" t="s">
        <v>250</v>
      </c>
      <c r="H232">
        <v>1</v>
      </c>
      <c r="I232">
        <v>203.8</v>
      </c>
      <c r="J232">
        <v>26</v>
      </c>
      <c r="K232">
        <v>177.8</v>
      </c>
      <c r="L232">
        <v>1160</v>
      </c>
      <c r="M232">
        <v>58</v>
      </c>
      <c r="N232">
        <v>0</v>
      </c>
      <c r="O232" t="s">
        <v>251</v>
      </c>
      <c r="P232" t="s">
        <v>31</v>
      </c>
      <c r="Q232">
        <v>0</v>
      </c>
      <c r="S232" t="s">
        <v>32</v>
      </c>
      <c r="U232">
        <v>0</v>
      </c>
      <c r="W232">
        <v>0</v>
      </c>
      <c r="X232">
        <v>0</v>
      </c>
      <c r="Y232" t="s">
        <v>650</v>
      </c>
      <c r="Z232">
        <v>0</v>
      </c>
      <c r="AB232" t="s">
        <v>61</v>
      </c>
    </row>
    <row r="233" spans="1:28" x14ac:dyDescent="0.25">
      <c r="A233" s="2">
        <v>46082</v>
      </c>
      <c r="B233" t="s">
        <v>651</v>
      </c>
      <c r="C233" t="s">
        <v>652</v>
      </c>
      <c r="D233" t="s">
        <v>57</v>
      </c>
      <c r="E233" t="s">
        <v>53</v>
      </c>
      <c r="F233" t="s">
        <v>58</v>
      </c>
      <c r="G233" t="s">
        <v>250</v>
      </c>
      <c r="H233">
        <v>1</v>
      </c>
      <c r="I233">
        <v>206.6</v>
      </c>
      <c r="J233">
        <v>32</v>
      </c>
      <c r="K233">
        <v>174.6</v>
      </c>
      <c r="L233">
        <v>1160</v>
      </c>
      <c r="M233">
        <v>58</v>
      </c>
      <c r="N233">
        <v>0</v>
      </c>
      <c r="O233" t="s">
        <v>251</v>
      </c>
      <c r="P233" t="s">
        <v>31</v>
      </c>
      <c r="Q233">
        <v>0</v>
      </c>
      <c r="S233" t="s">
        <v>32</v>
      </c>
      <c r="U233">
        <v>0</v>
      </c>
      <c r="W233">
        <v>0</v>
      </c>
      <c r="X233">
        <v>0</v>
      </c>
      <c r="Y233" t="s">
        <v>653</v>
      </c>
      <c r="Z233">
        <v>0</v>
      </c>
      <c r="AB233" t="s">
        <v>61</v>
      </c>
    </row>
    <row r="234" spans="1:28" x14ac:dyDescent="0.25">
      <c r="A234" s="2">
        <v>46082</v>
      </c>
      <c r="B234" t="s">
        <v>654</v>
      </c>
      <c r="C234" t="s">
        <v>655</v>
      </c>
      <c r="D234" t="s">
        <v>57</v>
      </c>
      <c r="E234" t="s">
        <v>53</v>
      </c>
      <c r="F234" t="s">
        <v>58</v>
      </c>
      <c r="G234" t="s">
        <v>250</v>
      </c>
      <c r="H234">
        <v>1</v>
      </c>
      <c r="I234">
        <v>200.4</v>
      </c>
      <c r="J234">
        <v>24.5</v>
      </c>
      <c r="K234">
        <v>175.9</v>
      </c>
      <c r="L234">
        <v>1160</v>
      </c>
      <c r="M234">
        <v>58</v>
      </c>
      <c r="N234">
        <v>0</v>
      </c>
      <c r="O234" t="s">
        <v>251</v>
      </c>
      <c r="P234" t="s">
        <v>31</v>
      </c>
      <c r="Q234">
        <v>0</v>
      </c>
      <c r="S234" t="s">
        <v>32</v>
      </c>
      <c r="U234">
        <v>0</v>
      </c>
      <c r="W234">
        <v>0</v>
      </c>
      <c r="X234">
        <v>0</v>
      </c>
      <c r="Y234" t="s">
        <v>656</v>
      </c>
      <c r="Z234">
        <v>0</v>
      </c>
      <c r="AB234" t="s">
        <v>61</v>
      </c>
    </row>
    <row r="235" spans="1:28" x14ac:dyDescent="0.25">
      <c r="A235" s="2">
        <v>46082</v>
      </c>
      <c r="B235" t="s">
        <v>657</v>
      </c>
      <c r="C235" t="s">
        <v>658</v>
      </c>
      <c r="D235" t="s">
        <v>57</v>
      </c>
      <c r="E235" t="s">
        <v>53</v>
      </c>
      <c r="F235" t="s">
        <v>58</v>
      </c>
      <c r="G235" t="s">
        <v>250</v>
      </c>
      <c r="H235">
        <v>1</v>
      </c>
      <c r="I235">
        <v>196.4</v>
      </c>
      <c r="J235">
        <v>17.5</v>
      </c>
      <c r="K235">
        <v>178.9</v>
      </c>
      <c r="L235">
        <v>1160</v>
      </c>
      <c r="M235">
        <v>58</v>
      </c>
      <c r="N235">
        <v>0</v>
      </c>
      <c r="O235" t="s">
        <v>251</v>
      </c>
      <c r="P235" t="s">
        <v>31</v>
      </c>
      <c r="Q235">
        <v>0</v>
      </c>
      <c r="S235" t="s">
        <v>32</v>
      </c>
      <c r="U235">
        <v>0</v>
      </c>
      <c r="W235">
        <v>0</v>
      </c>
      <c r="X235">
        <v>0</v>
      </c>
      <c r="Y235" t="s">
        <v>659</v>
      </c>
      <c r="Z235">
        <v>0</v>
      </c>
      <c r="AB235" t="s">
        <v>61</v>
      </c>
    </row>
    <row r="236" spans="1:28" x14ac:dyDescent="0.25">
      <c r="A236" s="2">
        <v>46082</v>
      </c>
      <c r="B236" t="s">
        <v>660</v>
      </c>
      <c r="C236" t="s">
        <v>661</v>
      </c>
      <c r="D236" t="s">
        <v>57</v>
      </c>
      <c r="E236" t="s">
        <v>53</v>
      </c>
      <c r="F236" t="s">
        <v>58</v>
      </c>
      <c r="G236" t="s">
        <v>250</v>
      </c>
      <c r="H236">
        <v>1</v>
      </c>
      <c r="I236">
        <v>273.60000000000002</v>
      </c>
      <c r="J236">
        <v>33</v>
      </c>
      <c r="K236">
        <v>240.6</v>
      </c>
      <c r="L236">
        <v>1500</v>
      </c>
      <c r="M236">
        <v>58</v>
      </c>
      <c r="N236">
        <v>0</v>
      </c>
      <c r="O236" t="s">
        <v>251</v>
      </c>
      <c r="P236" t="s">
        <v>31</v>
      </c>
      <c r="Q236">
        <v>0</v>
      </c>
      <c r="S236" t="s">
        <v>32</v>
      </c>
      <c r="U236">
        <v>0</v>
      </c>
      <c r="W236">
        <v>0</v>
      </c>
      <c r="X236">
        <v>0</v>
      </c>
      <c r="Y236" t="s">
        <v>662</v>
      </c>
      <c r="Z236">
        <v>0</v>
      </c>
      <c r="AB236" t="s">
        <v>61</v>
      </c>
    </row>
    <row r="237" spans="1:28" x14ac:dyDescent="0.25">
      <c r="A237" s="2">
        <v>46082</v>
      </c>
      <c r="B237" t="s">
        <v>663</v>
      </c>
      <c r="C237" t="s">
        <v>664</v>
      </c>
      <c r="D237" t="s">
        <v>57</v>
      </c>
      <c r="E237" t="s">
        <v>53</v>
      </c>
      <c r="F237" t="s">
        <v>58</v>
      </c>
      <c r="G237" t="s">
        <v>250</v>
      </c>
      <c r="H237">
        <v>1</v>
      </c>
      <c r="I237">
        <v>230</v>
      </c>
      <c r="J237">
        <v>43</v>
      </c>
      <c r="K237">
        <v>187</v>
      </c>
      <c r="L237">
        <v>1210</v>
      </c>
      <c r="M237">
        <v>58</v>
      </c>
      <c r="N237">
        <v>0</v>
      </c>
      <c r="O237" t="s">
        <v>251</v>
      </c>
      <c r="P237" t="s">
        <v>31</v>
      </c>
      <c r="Q237">
        <v>0</v>
      </c>
      <c r="S237" t="s">
        <v>32</v>
      </c>
      <c r="U237">
        <v>0</v>
      </c>
      <c r="W237">
        <v>0</v>
      </c>
      <c r="X237">
        <v>0</v>
      </c>
      <c r="Y237" t="s">
        <v>665</v>
      </c>
      <c r="Z237">
        <v>0</v>
      </c>
      <c r="AB237" t="s">
        <v>61</v>
      </c>
    </row>
    <row r="238" spans="1:28" x14ac:dyDescent="0.25">
      <c r="A238" s="2">
        <v>46082</v>
      </c>
      <c r="B238" t="s">
        <v>666</v>
      </c>
      <c r="C238" t="s">
        <v>54</v>
      </c>
      <c r="D238" t="s">
        <v>57</v>
      </c>
      <c r="E238" t="s">
        <v>53</v>
      </c>
      <c r="F238" t="s">
        <v>58</v>
      </c>
      <c r="G238" t="s">
        <v>250</v>
      </c>
      <c r="H238">
        <v>1</v>
      </c>
      <c r="I238">
        <v>70</v>
      </c>
      <c r="J238">
        <v>11</v>
      </c>
      <c r="K238">
        <v>59</v>
      </c>
      <c r="L238">
        <v>500</v>
      </c>
      <c r="M238">
        <v>58</v>
      </c>
      <c r="N238">
        <v>0</v>
      </c>
      <c r="O238" t="s">
        <v>251</v>
      </c>
      <c r="P238" t="s">
        <v>31</v>
      </c>
      <c r="Q238">
        <v>0</v>
      </c>
      <c r="S238" t="s">
        <v>32</v>
      </c>
      <c r="U238">
        <v>0</v>
      </c>
      <c r="W238">
        <v>0</v>
      </c>
      <c r="X238">
        <v>0</v>
      </c>
      <c r="Y238" t="s">
        <v>667</v>
      </c>
      <c r="Z238">
        <v>0</v>
      </c>
      <c r="AB238" t="s">
        <v>61</v>
      </c>
    </row>
    <row r="239" spans="1:28" x14ac:dyDescent="0.25">
      <c r="A239" s="2">
        <v>46082</v>
      </c>
      <c r="B239" t="s">
        <v>668</v>
      </c>
      <c r="C239" t="s">
        <v>432</v>
      </c>
      <c r="D239" t="s">
        <v>57</v>
      </c>
      <c r="E239" t="s">
        <v>53</v>
      </c>
      <c r="F239" t="s">
        <v>58</v>
      </c>
      <c r="G239" t="s">
        <v>250</v>
      </c>
      <c r="H239">
        <v>1</v>
      </c>
      <c r="I239">
        <v>68.2</v>
      </c>
      <c r="J239">
        <v>9.5</v>
      </c>
      <c r="K239">
        <v>58.7</v>
      </c>
      <c r="L239">
        <v>500</v>
      </c>
      <c r="M239">
        <v>58</v>
      </c>
      <c r="N239">
        <v>0</v>
      </c>
      <c r="O239" t="s">
        <v>251</v>
      </c>
      <c r="P239" t="s">
        <v>31</v>
      </c>
      <c r="Q239">
        <v>0</v>
      </c>
      <c r="S239" t="s">
        <v>32</v>
      </c>
      <c r="U239">
        <v>0</v>
      </c>
      <c r="W239">
        <v>0</v>
      </c>
      <c r="X239">
        <v>0</v>
      </c>
      <c r="Y239" t="s">
        <v>669</v>
      </c>
      <c r="Z239">
        <v>0</v>
      </c>
      <c r="AB239" t="s">
        <v>61</v>
      </c>
    </row>
    <row r="240" spans="1:28" x14ac:dyDescent="0.25">
      <c r="A240" s="2">
        <v>46082</v>
      </c>
      <c r="B240" t="s">
        <v>670</v>
      </c>
      <c r="C240" t="s">
        <v>671</v>
      </c>
      <c r="D240" t="s">
        <v>57</v>
      </c>
      <c r="E240" t="s">
        <v>53</v>
      </c>
      <c r="F240" t="s">
        <v>58</v>
      </c>
      <c r="G240" t="s">
        <v>250</v>
      </c>
      <c r="H240">
        <v>1</v>
      </c>
      <c r="I240">
        <v>95.4</v>
      </c>
      <c r="J240">
        <v>14</v>
      </c>
      <c r="K240">
        <v>81.400000000000006</v>
      </c>
      <c r="L240">
        <v>640</v>
      </c>
      <c r="M240">
        <v>58</v>
      </c>
      <c r="N240">
        <v>0</v>
      </c>
      <c r="O240" t="s">
        <v>251</v>
      </c>
      <c r="P240" t="s">
        <v>31</v>
      </c>
      <c r="Q240">
        <v>0</v>
      </c>
      <c r="S240" t="s">
        <v>32</v>
      </c>
      <c r="U240">
        <v>0</v>
      </c>
      <c r="W240">
        <v>0</v>
      </c>
      <c r="X240">
        <v>0</v>
      </c>
      <c r="Y240" t="s">
        <v>672</v>
      </c>
      <c r="Z240">
        <v>0</v>
      </c>
      <c r="AB240" t="s">
        <v>61</v>
      </c>
    </row>
    <row r="241" spans="1:28" x14ac:dyDescent="0.25">
      <c r="A241" s="2">
        <v>46082</v>
      </c>
      <c r="B241" t="s">
        <v>673</v>
      </c>
      <c r="C241" t="s">
        <v>674</v>
      </c>
      <c r="D241" t="s">
        <v>57</v>
      </c>
      <c r="E241" t="s">
        <v>53</v>
      </c>
      <c r="F241" t="s">
        <v>58</v>
      </c>
      <c r="G241" t="s">
        <v>250</v>
      </c>
      <c r="H241">
        <v>1</v>
      </c>
      <c r="I241">
        <v>95</v>
      </c>
      <c r="J241">
        <v>12</v>
      </c>
      <c r="K241">
        <v>83</v>
      </c>
      <c r="L241">
        <v>640</v>
      </c>
      <c r="M241">
        <v>58</v>
      </c>
      <c r="N241">
        <v>0</v>
      </c>
      <c r="O241" t="s">
        <v>251</v>
      </c>
      <c r="P241" t="s">
        <v>31</v>
      </c>
      <c r="Q241">
        <v>0</v>
      </c>
      <c r="S241" t="s">
        <v>32</v>
      </c>
      <c r="U241">
        <v>0</v>
      </c>
      <c r="W241">
        <v>0</v>
      </c>
      <c r="X241">
        <v>0</v>
      </c>
      <c r="Y241" t="s">
        <v>675</v>
      </c>
      <c r="Z241">
        <v>0</v>
      </c>
      <c r="AB241" t="s">
        <v>61</v>
      </c>
    </row>
    <row r="242" spans="1:28" x14ac:dyDescent="0.25">
      <c r="A242" s="2">
        <v>46082</v>
      </c>
      <c r="B242" t="s">
        <v>676</v>
      </c>
      <c r="C242" t="s">
        <v>677</v>
      </c>
      <c r="D242" t="s">
        <v>57</v>
      </c>
      <c r="E242" t="s">
        <v>53</v>
      </c>
      <c r="F242" t="s">
        <v>58</v>
      </c>
      <c r="G242" t="s">
        <v>240</v>
      </c>
      <c r="H242">
        <v>1</v>
      </c>
      <c r="I242">
        <v>12</v>
      </c>
      <c r="J242">
        <v>1.5</v>
      </c>
      <c r="K242">
        <v>10.5</v>
      </c>
      <c r="L242">
        <v>300</v>
      </c>
      <c r="M242">
        <v>32</v>
      </c>
      <c r="N242">
        <v>0</v>
      </c>
      <c r="O242" t="s">
        <v>30</v>
      </c>
      <c r="P242" t="s">
        <v>31</v>
      </c>
      <c r="Q242">
        <v>0</v>
      </c>
      <c r="S242" t="s">
        <v>32</v>
      </c>
      <c r="U242">
        <v>0</v>
      </c>
      <c r="W242">
        <v>0</v>
      </c>
      <c r="X242">
        <v>0</v>
      </c>
      <c r="Y242" t="s">
        <v>678</v>
      </c>
      <c r="Z242">
        <v>0</v>
      </c>
      <c r="AB242" t="s">
        <v>61</v>
      </c>
    </row>
    <row r="243" spans="1:28" x14ac:dyDescent="0.25">
      <c r="A243" s="2">
        <v>46082</v>
      </c>
      <c r="B243" t="s">
        <v>679</v>
      </c>
      <c r="C243" t="s">
        <v>435</v>
      </c>
      <c r="D243" t="s">
        <v>57</v>
      </c>
      <c r="E243" t="s">
        <v>53</v>
      </c>
      <c r="F243" t="s">
        <v>58</v>
      </c>
      <c r="G243" t="s">
        <v>250</v>
      </c>
      <c r="H243">
        <v>1</v>
      </c>
      <c r="I243">
        <v>84.6</v>
      </c>
      <c r="J243">
        <v>11</v>
      </c>
      <c r="K243">
        <v>73.599999999999994</v>
      </c>
      <c r="L243">
        <v>580</v>
      </c>
      <c r="M243">
        <v>58</v>
      </c>
      <c r="N243">
        <v>0</v>
      </c>
      <c r="O243" t="s">
        <v>251</v>
      </c>
      <c r="P243" t="s">
        <v>31</v>
      </c>
      <c r="Q243">
        <v>0</v>
      </c>
      <c r="S243" t="s">
        <v>32</v>
      </c>
      <c r="U243">
        <v>0</v>
      </c>
      <c r="W243">
        <v>0</v>
      </c>
      <c r="X243">
        <v>0</v>
      </c>
      <c r="Y243" t="s">
        <v>680</v>
      </c>
      <c r="Z243">
        <v>0</v>
      </c>
      <c r="AB243" t="s">
        <v>61</v>
      </c>
    </row>
    <row r="244" spans="1:28" x14ac:dyDescent="0.25">
      <c r="A244" s="2">
        <v>46082</v>
      </c>
      <c r="B244" t="s">
        <v>681</v>
      </c>
      <c r="C244" t="s">
        <v>682</v>
      </c>
      <c r="D244" t="s">
        <v>57</v>
      </c>
      <c r="E244" t="s">
        <v>53</v>
      </c>
      <c r="F244" t="s">
        <v>58</v>
      </c>
      <c r="G244" t="s">
        <v>250</v>
      </c>
      <c r="H244">
        <v>1</v>
      </c>
      <c r="I244">
        <v>87.2</v>
      </c>
      <c r="J244">
        <v>13.5</v>
      </c>
      <c r="K244">
        <v>73.7</v>
      </c>
      <c r="L244">
        <v>580</v>
      </c>
      <c r="M244">
        <v>58</v>
      </c>
      <c r="N244">
        <v>0</v>
      </c>
      <c r="O244" t="s">
        <v>251</v>
      </c>
      <c r="P244" t="s">
        <v>31</v>
      </c>
      <c r="Q244">
        <v>0</v>
      </c>
      <c r="S244" t="s">
        <v>32</v>
      </c>
      <c r="U244">
        <v>0</v>
      </c>
      <c r="W244">
        <v>0</v>
      </c>
      <c r="X244">
        <v>0</v>
      </c>
      <c r="Y244" t="s">
        <v>683</v>
      </c>
      <c r="Z244">
        <v>0</v>
      </c>
      <c r="AB244" t="s">
        <v>61</v>
      </c>
    </row>
    <row r="245" spans="1:28" x14ac:dyDescent="0.25">
      <c r="A245" s="2">
        <v>46082</v>
      </c>
      <c r="B245" t="s">
        <v>684</v>
      </c>
      <c r="C245" t="s">
        <v>685</v>
      </c>
      <c r="D245" t="s">
        <v>57</v>
      </c>
      <c r="E245" t="s">
        <v>53</v>
      </c>
      <c r="F245" t="s">
        <v>58</v>
      </c>
      <c r="G245" t="s">
        <v>250</v>
      </c>
      <c r="H245">
        <v>1</v>
      </c>
      <c r="I245">
        <v>113.4</v>
      </c>
      <c r="J245">
        <v>24.5</v>
      </c>
      <c r="K245">
        <v>88.9</v>
      </c>
      <c r="L245">
        <v>670</v>
      </c>
      <c r="M245">
        <v>58</v>
      </c>
      <c r="N245">
        <v>0</v>
      </c>
      <c r="O245" t="s">
        <v>251</v>
      </c>
      <c r="P245" t="s">
        <v>31</v>
      </c>
      <c r="Q245">
        <v>0</v>
      </c>
      <c r="S245" t="s">
        <v>32</v>
      </c>
      <c r="U245">
        <v>0</v>
      </c>
      <c r="W245">
        <v>0</v>
      </c>
      <c r="X245">
        <v>0</v>
      </c>
      <c r="Y245" t="s">
        <v>686</v>
      </c>
      <c r="Z245">
        <v>0</v>
      </c>
      <c r="AB245" t="s">
        <v>61</v>
      </c>
    </row>
    <row r="246" spans="1:28" x14ac:dyDescent="0.25">
      <c r="A246" s="2">
        <v>46082</v>
      </c>
      <c r="B246" t="s">
        <v>687</v>
      </c>
      <c r="C246" t="s">
        <v>688</v>
      </c>
      <c r="D246" t="s">
        <v>57</v>
      </c>
      <c r="E246" t="s">
        <v>53</v>
      </c>
      <c r="F246" t="s">
        <v>58</v>
      </c>
      <c r="G246" t="s">
        <v>250</v>
      </c>
      <c r="H246">
        <v>1</v>
      </c>
      <c r="I246">
        <v>120.6</v>
      </c>
      <c r="J246">
        <v>29</v>
      </c>
      <c r="K246">
        <v>91.6</v>
      </c>
      <c r="L246">
        <v>690</v>
      </c>
      <c r="M246">
        <v>58</v>
      </c>
      <c r="N246">
        <v>0</v>
      </c>
      <c r="O246" t="s">
        <v>251</v>
      </c>
      <c r="P246" t="s">
        <v>31</v>
      </c>
      <c r="Q246">
        <v>0</v>
      </c>
      <c r="S246" t="s">
        <v>32</v>
      </c>
      <c r="U246">
        <v>0</v>
      </c>
      <c r="W246">
        <v>0</v>
      </c>
      <c r="X246">
        <v>0</v>
      </c>
      <c r="Y246" t="s">
        <v>689</v>
      </c>
      <c r="Z246">
        <v>0</v>
      </c>
      <c r="AB246" t="s">
        <v>61</v>
      </c>
    </row>
    <row r="247" spans="1:28" x14ac:dyDescent="0.25">
      <c r="A247" s="2">
        <v>46082</v>
      </c>
      <c r="B247" t="s">
        <v>690</v>
      </c>
      <c r="C247" t="s">
        <v>331</v>
      </c>
      <c r="D247" t="s">
        <v>57</v>
      </c>
      <c r="E247" t="s">
        <v>38</v>
      </c>
      <c r="F247" t="s">
        <v>58</v>
      </c>
      <c r="G247" t="s">
        <v>230</v>
      </c>
      <c r="H247">
        <v>1</v>
      </c>
      <c r="I247">
        <v>54</v>
      </c>
      <c r="J247">
        <v>0</v>
      </c>
      <c r="K247">
        <v>54</v>
      </c>
      <c r="L247">
        <v>560</v>
      </c>
      <c r="M247">
        <v>47</v>
      </c>
      <c r="N247">
        <v>0</v>
      </c>
      <c r="O247" t="s">
        <v>30</v>
      </c>
      <c r="P247" t="s">
        <v>31</v>
      </c>
      <c r="Q247">
        <v>0</v>
      </c>
      <c r="S247" t="s">
        <v>32</v>
      </c>
      <c r="U247">
        <v>0</v>
      </c>
      <c r="W247">
        <v>0</v>
      </c>
      <c r="X247">
        <v>0</v>
      </c>
      <c r="Y247" t="s">
        <v>691</v>
      </c>
      <c r="Z247">
        <v>0</v>
      </c>
      <c r="AB247" t="s">
        <v>61</v>
      </c>
    </row>
    <row r="248" spans="1:28" x14ac:dyDescent="0.25">
      <c r="A248" s="2">
        <v>46082</v>
      </c>
      <c r="B248" t="s">
        <v>692</v>
      </c>
      <c r="C248" t="s">
        <v>39</v>
      </c>
      <c r="D248" t="s">
        <v>57</v>
      </c>
      <c r="E248" t="s">
        <v>38</v>
      </c>
      <c r="F248" t="s">
        <v>58</v>
      </c>
      <c r="G248" t="s">
        <v>230</v>
      </c>
      <c r="H248">
        <v>1</v>
      </c>
      <c r="I248">
        <v>25</v>
      </c>
      <c r="J248">
        <v>0</v>
      </c>
      <c r="K248">
        <v>25</v>
      </c>
      <c r="L248">
        <v>340</v>
      </c>
      <c r="M248">
        <v>47</v>
      </c>
      <c r="N248">
        <v>0</v>
      </c>
      <c r="O248" t="s">
        <v>30</v>
      </c>
      <c r="P248" t="s">
        <v>31</v>
      </c>
      <c r="Q248">
        <v>0</v>
      </c>
      <c r="S248" t="s">
        <v>32</v>
      </c>
      <c r="U248">
        <v>0</v>
      </c>
      <c r="W248">
        <v>0</v>
      </c>
      <c r="X248">
        <v>0</v>
      </c>
      <c r="Y248" t="s">
        <v>693</v>
      </c>
      <c r="Z248">
        <v>0</v>
      </c>
      <c r="AB248" t="s">
        <v>61</v>
      </c>
    </row>
    <row r="249" spans="1:28" x14ac:dyDescent="0.25">
      <c r="A249" s="2">
        <v>46082</v>
      </c>
      <c r="B249" t="s">
        <v>694</v>
      </c>
      <c r="C249" t="s">
        <v>39</v>
      </c>
      <c r="D249" t="s">
        <v>57</v>
      </c>
      <c r="E249" t="s">
        <v>38</v>
      </c>
      <c r="F249" t="s">
        <v>58</v>
      </c>
      <c r="G249" t="s">
        <v>230</v>
      </c>
      <c r="H249">
        <v>1</v>
      </c>
      <c r="I249">
        <v>18.8</v>
      </c>
      <c r="J249">
        <v>0</v>
      </c>
      <c r="K249">
        <v>18.8</v>
      </c>
      <c r="L249">
        <v>340</v>
      </c>
      <c r="M249">
        <v>47</v>
      </c>
      <c r="N249">
        <v>0</v>
      </c>
      <c r="O249" t="s">
        <v>30</v>
      </c>
      <c r="P249" t="s">
        <v>31</v>
      </c>
      <c r="Q249">
        <v>0</v>
      </c>
      <c r="S249" t="s">
        <v>32</v>
      </c>
      <c r="U249">
        <v>0</v>
      </c>
      <c r="W249">
        <v>0</v>
      </c>
      <c r="X249">
        <v>0</v>
      </c>
      <c r="Y249" t="s">
        <v>695</v>
      </c>
      <c r="Z249">
        <v>0</v>
      </c>
      <c r="AB249" t="s">
        <v>61</v>
      </c>
    </row>
    <row r="250" spans="1:28" x14ac:dyDescent="0.25">
      <c r="A250" s="2">
        <v>46082</v>
      </c>
      <c r="B250" t="s">
        <v>696</v>
      </c>
      <c r="C250" t="s">
        <v>39</v>
      </c>
      <c r="D250" t="s">
        <v>57</v>
      </c>
      <c r="E250" t="s">
        <v>38</v>
      </c>
      <c r="F250" t="s">
        <v>58</v>
      </c>
      <c r="G250" t="s">
        <v>230</v>
      </c>
      <c r="H250">
        <v>1</v>
      </c>
      <c r="I250">
        <v>18</v>
      </c>
      <c r="J250">
        <v>0</v>
      </c>
      <c r="K250">
        <v>18</v>
      </c>
      <c r="L250">
        <v>340</v>
      </c>
      <c r="M250">
        <v>47</v>
      </c>
      <c r="N250">
        <v>0</v>
      </c>
      <c r="O250" t="s">
        <v>30</v>
      </c>
      <c r="P250" t="s">
        <v>31</v>
      </c>
      <c r="Q250">
        <v>0</v>
      </c>
      <c r="S250" t="s">
        <v>32</v>
      </c>
      <c r="U250">
        <v>0</v>
      </c>
      <c r="W250">
        <v>0</v>
      </c>
      <c r="X250">
        <v>0</v>
      </c>
      <c r="Y250" t="s">
        <v>697</v>
      </c>
      <c r="Z250">
        <v>0</v>
      </c>
      <c r="AB250" t="s">
        <v>61</v>
      </c>
    </row>
    <row r="251" spans="1:28" x14ac:dyDescent="0.25">
      <c r="A251" s="2">
        <v>46082</v>
      </c>
      <c r="B251" t="s">
        <v>698</v>
      </c>
      <c r="C251" t="s">
        <v>39</v>
      </c>
      <c r="D251" t="s">
        <v>57</v>
      </c>
      <c r="E251" t="s">
        <v>38</v>
      </c>
      <c r="F251" t="s">
        <v>58</v>
      </c>
      <c r="G251" t="s">
        <v>230</v>
      </c>
      <c r="H251">
        <v>1</v>
      </c>
      <c r="I251">
        <v>23</v>
      </c>
      <c r="J251">
        <v>0</v>
      </c>
      <c r="K251">
        <v>23</v>
      </c>
      <c r="L251">
        <v>340</v>
      </c>
      <c r="M251">
        <v>47</v>
      </c>
      <c r="N251">
        <v>0</v>
      </c>
      <c r="O251" t="s">
        <v>30</v>
      </c>
      <c r="P251" t="s">
        <v>31</v>
      </c>
      <c r="Q251">
        <v>0</v>
      </c>
      <c r="S251" t="s">
        <v>32</v>
      </c>
      <c r="U251">
        <v>0</v>
      </c>
      <c r="W251">
        <v>0</v>
      </c>
      <c r="X251">
        <v>0</v>
      </c>
      <c r="Y251" t="s">
        <v>699</v>
      </c>
      <c r="Z251">
        <v>0</v>
      </c>
      <c r="AB251" t="s">
        <v>61</v>
      </c>
    </row>
    <row r="252" spans="1:28" x14ac:dyDescent="0.25">
      <c r="A252" s="2">
        <v>46082</v>
      </c>
      <c r="B252" t="s">
        <v>700</v>
      </c>
      <c r="C252" t="s">
        <v>49</v>
      </c>
      <c r="D252" t="s">
        <v>57</v>
      </c>
      <c r="E252" t="s">
        <v>53</v>
      </c>
      <c r="F252" t="s">
        <v>58</v>
      </c>
      <c r="G252" t="s">
        <v>230</v>
      </c>
      <c r="H252">
        <v>1</v>
      </c>
      <c r="I252">
        <v>63.6</v>
      </c>
      <c r="J252">
        <v>19.5</v>
      </c>
      <c r="K252">
        <v>44.1</v>
      </c>
      <c r="L252">
        <v>440</v>
      </c>
      <c r="M252">
        <v>47</v>
      </c>
      <c r="N252">
        <v>0</v>
      </c>
      <c r="O252" t="s">
        <v>30</v>
      </c>
      <c r="P252" t="s">
        <v>31</v>
      </c>
      <c r="Q252">
        <v>0</v>
      </c>
      <c r="S252" t="s">
        <v>32</v>
      </c>
      <c r="U252">
        <v>0</v>
      </c>
      <c r="W252">
        <v>0</v>
      </c>
      <c r="X252">
        <v>0</v>
      </c>
      <c r="Y252" t="s">
        <v>701</v>
      </c>
      <c r="Z252">
        <v>0</v>
      </c>
      <c r="AB252" t="s">
        <v>61</v>
      </c>
    </row>
    <row r="253" spans="1:28" x14ac:dyDescent="0.25">
      <c r="A253" s="2">
        <v>46082</v>
      </c>
      <c r="B253" t="s">
        <v>702</v>
      </c>
      <c r="C253" t="s">
        <v>703</v>
      </c>
      <c r="D253" t="s">
        <v>57</v>
      </c>
      <c r="E253" t="s">
        <v>53</v>
      </c>
      <c r="F253" t="s">
        <v>58</v>
      </c>
      <c r="G253" t="s">
        <v>230</v>
      </c>
      <c r="H253">
        <v>1</v>
      </c>
      <c r="I253">
        <v>60.6</v>
      </c>
      <c r="J253">
        <v>17.5</v>
      </c>
      <c r="K253">
        <v>43.1</v>
      </c>
      <c r="L253">
        <v>440</v>
      </c>
      <c r="M253">
        <v>47</v>
      </c>
      <c r="N253">
        <v>0</v>
      </c>
      <c r="O253" t="s">
        <v>30</v>
      </c>
      <c r="P253" t="s">
        <v>31</v>
      </c>
      <c r="Q253">
        <v>0</v>
      </c>
      <c r="S253" t="s">
        <v>32</v>
      </c>
      <c r="U253">
        <v>0</v>
      </c>
      <c r="W253">
        <v>0</v>
      </c>
      <c r="X253">
        <v>0</v>
      </c>
      <c r="Y253" t="s">
        <v>704</v>
      </c>
      <c r="Z253">
        <v>0</v>
      </c>
      <c r="AB253" t="s">
        <v>61</v>
      </c>
    </row>
    <row r="254" spans="1:28" x14ac:dyDescent="0.25">
      <c r="A254" s="2">
        <v>46082</v>
      </c>
      <c r="B254" t="s">
        <v>705</v>
      </c>
      <c r="C254" t="s">
        <v>706</v>
      </c>
      <c r="D254" t="s">
        <v>57</v>
      </c>
      <c r="E254" t="s">
        <v>53</v>
      </c>
      <c r="F254" t="s">
        <v>58</v>
      </c>
      <c r="G254" t="s">
        <v>230</v>
      </c>
      <c r="H254">
        <v>1</v>
      </c>
      <c r="I254">
        <v>70.599999999999994</v>
      </c>
      <c r="J254">
        <v>24</v>
      </c>
      <c r="K254">
        <v>46.6</v>
      </c>
      <c r="L254">
        <v>440</v>
      </c>
      <c r="M254">
        <v>47</v>
      </c>
      <c r="N254">
        <v>0</v>
      </c>
      <c r="O254" t="s">
        <v>30</v>
      </c>
      <c r="P254" t="s">
        <v>31</v>
      </c>
      <c r="Q254">
        <v>0</v>
      </c>
      <c r="S254" t="s">
        <v>32</v>
      </c>
      <c r="U254">
        <v>0</v>
      </c>
      <c r="W254">
        <v>0</v>
      </c>
      <c r="X254">
        <v>0</v>
      </c>
      <c r="Y254" t="s">
        <v>707</v>
      </c>
      <c r="Z254">
        <v>0</v>
      </c>
      <c r="AB254" t="s">
        <v>61</v>
      </c>
    </row>
    <row r="255" spans="1:28" x14ac:dyDescent="0.25">
      <c r="A255" s="2">
        <v>46082</v>
      </c>
      <c r="B255" t="s">
        <v>708</v>
      </c>
      <c r="C255" t="s">
        <v>709</v>
      </c>
      <c r="D255" t="s">
        <v>57</v>
      </c>
      <c r="E255" t="s">
        <v>53</v>
      </c>
      <c r="F255" t="s">
        <v>58</v>
      </c>
      <c r="G255" t="s">
        <v>230</v>
      </c>
      <c r="H255">
        <v>1</v>
      </c>
      <c r="I255">
        <v>61</v>
      </c>
      <c r="J255">
        <v>15</v>
      </c>
      <c r="K255">
        <v>46</v>
      </c>
      <c r="L255">
        <v>440</v>
      </c>
      <c r="M255">
        <v>47</v>
      </c>
      <c r="N255">
        <v>0</v>
      </c>
      <c r="O255" t="s">
        <v>30</v>
      </c>
      <c r="P255" t="s">
        <v>31</v>
      </c>
      <c r="Q255">
        <v>0</v>
      </c>
      <c r="S255" t="s">
        <v>32</v>
      </c>
      <c r="U255">
        <v>0</v>
      </c>
      <c r="W255">
        <v>0</v>
      </c>
      <c r="X255">
        <v>0</v>
      </c>
      <c r="Y255" t="s">
        <v>710</v>
      </c>
      <c r="Z255">
        <v>0</v>
      </c>
      <c r="AB255" t="s">
        <v>61</v>
      </c>
    </row>
    <row r="256" spans="1:28" x14ac:dyDescent="0.25">
      <c r="A256" s="2">
        <v>46082</v>
      </c>
      <c r="B256" t="s">
        <v>711</v>
      </c>
      <c r="C256" t="s">
        <v>712</v>
      </c>
      <c r="D256" t="s">
        <v>57</v>
      </c>
      <c r="E256" t="s">
        <v>53</v>
      </c>
      <c r="F256" t="s">
        <v>58</v>
      </c>
      <c r="G256" t="s">
        <v>230</v>
      </c>
      <c r="H256">
        <v>1</v>
      </c>
      <c r="I256">
        <v>36.4</v>
      </c>
      <c r="J256">
        <v>8.5</v>
      </c>
      <c r="K256">
        <v>27.9</v>
      </c>
      <c r="L256">
        <v>350</v>
      </c>
      <c r="M256">
        <v>47</v>
      </c>
      <c r="N256">
        <v>0</v>
      </c>
      <c r="O256" t="s">
        <v>30</v>
      </c>
      <c r="P256" t="s">
        <v>31</v>
      </c>
      <c r="Q256">
        <v>0</v>
      </c>
      <c r="S256" t="s">
        <v>32</v>
      </c>
      <c r="U256">
        <v>0</v>
      </c>
      <c r="W256">
        <v>0</v>
      </c>
      <c r="X256">
        <v>0</v>
      </c>
      <c r="Y256" t="s">
        <v>713</v>
      </c>
      <c r="Z256">
        <v>0</v>
      </c>
      <c r="AB256" t="s">
        <v>61</v>
      </c>
    </row>
    <row r="257" spans="1:28" x14ac:dyDescent="0.25">
      <c r="A257" s="2">
        <v>46082</v>
      </c>
      <c r="B257" t="s">
        <v>714</v>
      </c>
      <c r="C257" t="s">
        <v>260</v>
      </c>
      <c r="D257" t="s">
        <v>57</v>
      </c>
      <c r="E257" t="s">
        <v>53</v>
      </c>
      <c r="F257" t="s">
        <v>58</v>
      </c>
      <c r="G257" t="s">
        <v>230</v>
      </c>
      <c r="H257">
        <v>1</v>
      </c>
      <c r="I257">
        <v>57</v>
      </c>
      <c r="J257">
        <v>19</v>
      </c>
      <c r="K257">
        <v>38</v>
      </c>
      <c r="L257">
        <v>400</v>
      </c>
      <c r="M257">
        <v>47</v>
      </c>
      <c r="N257">
        <v>0</v>
      </c>
      <c r="O257" t="s">
        <v>30</v>
      </c>
      <c r="P257" t="s">
        <v>31</v>
      </c>
      <c r="Q257">
        <v>0</v>
      </c>
      <c r="S257" t="s">
        <v>32</v>
      </c>
      <c r="U257">
        <v>0</v>
      </c>
      <c r="W257">
        <v>0</v>
      </c>
      <c r="X257">
        <v>0</v>
      </c>
      <c r="Y257" t="s">
        <v>715</v>
      </c>
      <c r="Z257">
        <v>0</v>
      </c>
      <c r="AB257" t="s">
        <v>61</v>
      </c>
    </row>
    <row r="258" spans="1:28" x14ac:dyDescent="0.25">
      <c r="A258" s="2">
        <v>46082</v>
      </c>
      <c r="B258" t="s">
        <v>716</v>
      </c>
      <c r="C258" t="s">
        <v>260</v>
      </c>
      <c r="D258" t="s">
        <v>57</v>
      </c>
      <c r="E258" t="s">
        <v>53</v>
      </c>
      <c r="F258" t="s">
        <v>58</v>
      </c>
      <c r="G258" t="s">
        <v>230</v>
      </c>
      <c r="H258">
        <v>1</v>
      </c>
      <c r="I258">
        <v>62.6</v>
      </c>
      <c r="J258">
        <v>19</v>
      </c>
      <c r="K258">
        <v>43.6</v>
      </c>
      <c r="L258">
        <v>400</v>
      </c>
      <c r="M258">
        <v>47</v>
      </c>
      <c r="N258">
        <v>0</v>
      </c>
      <c r="O258" t="s">
        <v>30</v>
      </c>
      <c r="P258" t="s">
        <v>31</v>
      </c>
      <c r="Q258">
        <v>0</v>
      </c>
      <c r="S258" t="s">
        <v>32</v>
      </c>
      <c r="U258">
        <v>0</v>
      </c>
      <c r="W258">
        <v>0</v>
      </c>
      <c r="X258">
        <v>0</v>
      </c>
      <c r="Y258" t="s">
        <v>717</v>
      </c>
      <c r="Z258">
        <v>0</v>
      </c>
      <c r="AB258" t="s">
        <v>61</v>
      </c>
    </row>
    <row r="259" spans="1:28" x14ac:dyDescent="0.25">
      <c r="A259" s="2">
        <v>46082</v>
      </c>
      <c r="B259" t="s">
        <v>718</v>
      </c>
      <c r="C259" t="s">
        <v>41</v>
      </c>
      <c r="D259" t="s">
        <v>57</v>
      </c>
      <c r="E259" t="s">
        <v>53</v>
      </c>
      <c r="F259" t="s">
        <v>58</v>
      </c>
      <c r="G259" t="s">
        <v>230</v>
      </c>
      <c r="H259">
        <v>1</v>
      </c>
      <c r="I259">
        <v>36.6</v>
      </c>
      <c r="J259">
        <v>9.5</v>
      </c>
      <c r="K259">
        <v>27.1</v>
      </c>
      <c r="L259">
        <v>350</v>
      </c>
      <c r="M259">
        <v>47</v>
      </c>
      <c r="N259">
        <v>0</v>
      </c>
      <c r="O259" t="s">
        <v>30</v>
      </c>
      <c r="P259" t="s">
        <v>31</v>
      </c>
      <c r="Q259">
        <v>0</v>
      </c>
      <c r="S259" t="s">
        <v>32</v>
      </c>
      <c r="U259">
        <v>0</v>
      </c>
      <c r="W259">
        <v>0</v>
      </c>
      <c r="X259">
        <v>0</v>
      </c>
      <c r="Y259" t="s">
        <v>719</v>
      </c>
      <c r="Z259">
        <v>0</v>
      </c>
      <c r="AB259" t="s">
        <v>61</v>
      </c>
    </row>
    <row r="260" spans="1:28" x14ac:dyDescent="0.25">
      <c r="A260" s="2">
        <v>46082</v>
      </c>
      <c r="B260" t="s">
        <v>720</v>
      </c>
      <c r="C260" t="s">
        <v>41</v>
      </c>
      <c r="D260" t="s">
        <v>57</v>
      </c>
      <c r="E260" t="s">
        <v>53</v>
      </c>
      <c r="F260" t="s">
        <v>58</v>
      </c>
      <c r="G260" t="s">
        <v>230</v>
      </c>
      <c r="H260">
        <v>1</v>
      </c>
      <c r="I260">
        <v>35</v>
      </c>
      <c r="J260">
        <v>9.5</v>
      </c>
      <c r="K260">
        <v>25.5</v>
      </c>
      <c r="L260">
        <v>350</v>
      </c>
      <c r="M260">
        <v>47</v>
      </c>
      <c r="N260">
        <v>0</v>
      </c>
      <c r="O260" t="s">
        <v>30</v>
      </c>
      <c r="P260" t="s">
        <v>31</v>
      </c>
      <c r="Q260">
        <v>0</v>
      </c>
      <c r="S260" t="s">
        <v>32</v>
      </c>
      <c r="U260">
        <v>0</v>
      </c>
      <c r="W260">
        <v>0</v>
      </c>
      <c r="X260">
        <v>0</v>
      </c>
      <c r="Y260" t="s">
        <v>721</v>
      </c>
      <c r="Z260">
        <v>0</v>
      </c>
      <c r="AB260" t="s">
        <v>61</v>
      </c>
    </row>
    <row r="261" spans="1:28" x14ac:dyDescent="0.25">
      <c r="A261" s="2">
        <v>46082</v>
      </c>
      <c r="B261" t="s">
        <v>722</v>
      </c>
      <c r="C261" t="s">
        <v>49</v>
      </c>
      <c r="D261" t="s">
        <v>57</v>
      </c>
      <c r="E261" t="s">
        <v>53</v>
      </c>
      <c r="F261" t="s">
        <v>58</v>
      </c>
      <c r="G261" t="s">
        <v>230</v>
      </c>
      <c r="H261">
        <v>1</v>
      </c>
      <c r="I261">
        <v>32.200000000000003</v>
      </c>
      <c r="J261">
        <v>7</v>
      </c>
      <c r="K261">
        <v>25.2</v>
      </c>
      <c r="L261">
        <v>350</v>
      </c>
      <c r="M261">
        <v>47</v>
      </c>
      <c r="N261">
        <v>0</v>
      </c>
      <c r="O261" t="s">
        <v>30</v>
      </c>
      <c r="P261" t="s">
        <v>31</v>
      </c>
      <c r="Q261">
        <v>0</v>
      </c>
      <c r="S261" t="s">
        <v>32</v>
      </c>
      <c r="U261">
        <v>0</v>
      </c>
      <c r="W261">
        <v>0</v>
      </c>
      <c r="X261">
        <v>0</v>
      </c>
      <c r="Y261" t="s">
        <v>723</v>
      </c>
      <c r="Z261">
        <v>0</v>
      </c>
      <c r="AB261" t="s">
        <v>61</v>
      </c>
    </row>
    <row r="262" spans="1:28" x14ac:dyDescent="0.25">
      <c r="A262" s="2">
        <v>46082</v>
      </c>
      <c r="B262" t="s">
        <v>724</v>
      </c>
      <c r="C262" t="s">
        <v>49</v>
      </c>
      <c r="D262" t="s">
        <v>57</v>
      </c>
      <c r="E262" t="s">
        <v>53</v>
      </c>
      <c r="F262" t="s">
        <v>58</v>
      </c>
      <c r="G262" t="s">
        <v>230</v>
      </c>
      <c r="H262">
        <v>1</v>
      </c>
      <c r="I262">
        <v>41.6</v>
      </c>
      <c r="J262">
        <v>9</v>
      </c>
      <c r="K262">
        <v>32.6</v>
      </c>
      <c r="L262">
        <v>350</v>
      </c>
      <c r="M262">
        <v>47</v>
      </c>
      <c r="N262">
        <v>0</v>
      </c>
      <c r="O262" t="s">
        <v>30</v>
      </c>
      <c r="P262" t="s">
        <v>31</v>
      </c>
      <c r="Q262">
        <v>0</v>
      </c>
      <c r="S262" t="s">
        <v>32</v>
      </c>
      <c r="U262">
        <v>0</v>
      </c>
      <c r="W262">
        <v>0</v>
      </c>
      <c r="X262">
        <v>0</v>
      </c>
      <c r="Y262" t="s">
        <v>725</v>
      </c>
      <c r="Z262">
        <v>0</v>
      </c>
      <c r="AB262" t="s">
        <v>61</v>
      </c>
    </row>
    <row r="263" spans="1:28" x14ac:dyDescent="0.25">
      <c r="A263" s="2">
        <v>46082</v>
      </c>
      <c r="B263" t="s">
        <v>726</v>
      </c>
      <c r="C263" t="s">
        <v>35</v>
      </c>
      <c r="D263" t="s">
        <v>57</v>
      </c>
      <c r="E263" t="s">
        <v>53</v>
      </c>
      <c r="F263" t="s">
        <v>58</v>
      </c>
      <c r="G263" t="s">
        <v>230</v>
      </c>
      <c r="H263">
        <v>1</v>
      </c>
      <c r="I263">
        <v>34</v>
      </c>
      <c r="J263">
        <v>6</v>
      </c>
      <c r="K263">
        <v>28</v>
      </c>
      <c r="L263">
        <v>350</v>
      </c>
      <c r="M263">
        <v>47</v>
      </c>
      <c r="N263">
        <v>0</v>
      </c>
      <c r="O263" t="s">
        <v>30</v>
      </c>
      <c r="P263" t="s">
        <v>31</v>
      </c>
      <c r="Q263">
        <v>0</v>
      </c>
      <c r="S263" t="s">
        <v>32</v>
      </c>
      <c r="U263">
        <v>0</v>
      </c>
      <c r="W263">
        <v>0</v>
      </c>
      <c r="X263">
        <v>0</v>
      </c>
      <c r="Y263" t="s">
        <v>727</v>
      </c>
      <c r="Z263">
        <v>0</v>
      </c>
      <c r="AB263" t="s">
        <v>61</v>
      </c>
    </row>
    <row r="264" spans="1:28" x14ac:dyDescent="0.25">
      <c r="A264" s="2">
        <v>46082</v>
      </c>
      <c r="B264" t="s">
        <v>728</v>
      </c>
      <c r="C264" t="s">
        <v>40</v>
      </c>
      <c r="D264" t="s">
        <v>57</v>
      </c>
      <c r="E264" t="s">
        <v>44</v>
      </c>
      <c r="F264" t="s">
        <v>58</v>
      </c>
      <c r="G264" t="s">
        <v>230</v>
      </c>
      <c r="H264">
        <v>1</v>
      </c>
      <c r="I264">
        <v>18.2</v>
      </c>
      <c r="J264">
        <v>4.5</v>
      </c>
      <c r="K264">
        <v>13.7</v>
      </c>
      <c r="L264">
        <v>320</v>
      </c>
      <c r="M264">
        <v>47</v>
      </c>
      <c r="N264">
        <v>0</v>
      </c>
      <c r="O264" t="s">
        <v>30</v>
      </c>
      <c r="P264" t="s">
        <v>31</v>
      </c>
      <c r="Q264">
        <v>0</v>
      </c>
      <c r="S264" t="s">
        <v>32</v>
      </c>
      <c r="U264">
        <v>0</v>
      </c>
      <c r="W264">
        <v>0</v>
      </c>
      <c r="X264">
        <v>0</v>
      </c>
      <c r="Y264" t="s">
        <v>729</v>
      </c>
      <c r="Z264">
        <v>0</v>
      </c>
      <c r="AB264" t="s">
        <v>61</v>
      </c>
    </row>
    <row r="265" spans="1:28" x14ac:dyDescent="0.25">
      <c r="A265" s="2">
        <v>46082</v>
      </c>
      <c r="B265" t="s">
        <v>730</v>
      </c>
      <c r="C265" t="s">
        <v>233</v>
      </c>
      <c r="D265" t="s">
        <v>57</v>
      </c>
      <c r="E265" t="s">
        <v>44</v>
      </c>
      <c r="F265" t="s">
        <v>58</v>
      </c>
      <c r="G265" t="s">
        <v>230</v>
      </c>
      <c r="H265">
        <v>1</v>
      </c>
      <c r="I265">
        <v>32</v>
      </c>
      <c r="J265">
        <v>0</v>
      </c>
      <c r="K265">
        <v>32</v>
      </c>
      <c r="L265">
        <v>410</v>
      </c>
      <c r="M265">
        <v>47</v>
      </c>
      <c r="N265">
        <v>0</v>
      </c>
      <c r="O265" t="s">
        <v>30</v>
      </c>
      <c r="P265" t="s">
        <v>31</v>
      </c>
      <c r="Q265">
        <v>0</v>
      </c>
      <c r="S265" t="s">
        <v>32</v>
      </c>
      <c r="U265">
        <v>0</v>
      </c>
      <c r="W265">
        <v>0</v>
      </c>
      <c r="X265">
        <v>0</v>
      </c>
      <c r="Y265" t="s">
        <v>731</v>
      </c>
      <c r="Z265">
        <v>0</v>
      </c>
      <c r="AB265" t="s">
        <v>61</v>
      </c>
    </row>
    <row r="266" spans="1:28" x14ac:dyDescent="0.25">
      <c r="A266" s="2">
        <v>46082</v>
      </c>
      <c r="B266" t="s">
        <v>732</v>
      </c>
      <c r="C266" t="s">
        <v>49</v>
      </c>
      <c r="D266" t="s">
        <v>57</v>
      </c>
      <c r="E266" t="s">
        <v>44</v>
      </c>
      <c r="F266" t="s">
        <v>58</v>
      </c>
      <c r="G266" t="s">
        <v>230</v>
      </c>
      <c r="H266">
        <v>1</v>
      </c>
      <c r="I266">
        <v>48.2</v>
      </c>
      <c r="J266">
        <v>15</v>
      </c>
      <c r="K266">
        <v>33.200000000000003</v>
      </c>
      <c r="L266">
        <v>370</v>
      </c>
      <c r="M266">
        <v>47</v>
      </c>
      <c r="N266">
        <v>0</v>
      </c>
      <c r="O266" t="s">
        <v>30</v>
      </c>
      <c r="P266" t="s">
        <v>31</v>
      </c>
      <c r="Q266">
        <v>0</v>
      </c>
      <c r="S266" t="s">
        <v>32</v>
      </c>
      <c r="U266">
        <v>0</v>
      </c>
      <c r="W266">
        <v>0</v>
      </c>
      <c r="X266">
        <v>0</v>
      </c>
      <c r="Y266" t="s">
        <v>733</v>
      </c>
      <c r="Z266">
        <v>0</v>
      </c>
      <c r="AB266" t="s">
        <v>61</v>
      </c>
    </row>
    <row r="267" spans="1:28" x14ac:dyDescent="0.25">
      <c r="A267" s="2">
        <v>46082</v>
      </c>
      <c r="B267" t="s">
        <v>734</v>
      </c>
      <c r="C267" t="s">
        <v>735</v>
      </c>
      <c r="D267" t="s">
        <v>57</v>
      </c>
      <c r="E267" t="s">
        <v>44</v>
      </c>
      <c r="F267" t="s">
        <v>58</v>
      </c>
      <c r="G267" t="s">
        <v>230</v>
      </c>
      <c r="H267">
        <v>1</v>
      </c>
      <c r="I267">
        <v>31.2</v>
      </c>
      <c r="J267">
        <v>0</v>
      </c>
      <c r="K267">
        <v>31.2</v>
      </c>
      <c r="L267">
        <v>400</v>
      </c>
      <c r="M267">
        <v>47</v>
      </c>
      <c r="N267">
        <v>0</v>
      </c>
      <c r="O267" t="s">
        <v>30</v>
      </c>
      <c r="P267" t="s">
        <v>31</v>
      </c>
      <c r="Q267">
        <v>0</v>
      </c>
      <c r="S267" t="s">
        <v>32</v>
      </c>
      <c r="U267">
        <v>0</v>
      </c>
      <c r="W267">
        <v>0</v>
      </c>
      <c r="X267">
        <v>0</v>
      </c>
      <c r="Y267" t="s">
        <v>736</v>
      </c>
      <c r="Z267">
        <v>0</v>
      </c>
      <c r="AB267" t="s">
        <v>61</v>
      </c>
    </row>
    <row r="268" spans="1:28" x14ac:dyDescent="0.25">
      <c r="A268" s="2">
        <v>46082</v>
      </c>
      <c r="B268" t="s">
        <v>737</v>
      </c>
      <c r="C268" t="s">
        <v>738</v>
      </c>
      <c r="D268" t="s">
        <v>57</v>
      </c>
      <c r="E268" t="s">
        <v>44</v>
      </c>
      <c r="F268" t="s">
        <v>58</v>
      </c>
      <c r="G268" t="s">
        <v>230</v>
      </c>
      <c r="H268">
        <v>1</v>
      </c>
      <c r="I268">
        <v>36.6</v>
      </c>
      <c r="J268">
        <v>5.5</v>
      </c>
      <c r="K268">
        <v>31.1</v>
      </c>
      <c r="L268">
        <v>400</v>
      </c>
      <c r="M268">
        <v>47</v>
      </c>
      <c r="N268">
        <v>0</v>
      </c>
      <c r="O268" t="s">
        <v>30</v>
      </c>
      <c r="P268" t="s">
        <v>31</v>
      </c>
      <c r="Q268">
        <v>0</v>
      </c>
      <c r="S268" t="s">
        <v>32</v>
      </c>
      <c r="U268">
        <v>0</v>
      </c>
      <c r="W268">
        <v>0</v>
      </c>
      <c r="X268">
        <v>0</v>
      </c>
      <c r="Y268" t="s">
        <v>739</v>
      </c>
      <c r="Z268">
        <v>0</v>
      </c>
      <c r="AB268" t="s">
        <v>61</v>
      </c>
    </row>
    <row r="269" spans="1:28" x14ac:dyDescent="0.25">
      <c r="A269" s="2">
        <v>46082</v>
      </c>
      <c r="B269" t="s">
        <v>740</v>
      </c>
      <c r="C269" t="s">
        <v>233</v>
      </c>
      <c r="D269" t="s">
        <v>57</v>
      </c>
      <c r="E269" t="s">
        <v>44</v>
      </c>
      <c r="F269" t="s">
        <v>58</v>
      </c>
      <c r="G269" t="s">
        <v>230</v>
      </c>
      <c r="H269">
        <v>1</v>
      </c>
      <c r="I269">
        <v>41.4</v>
      </c>
      <c r="J269">
        <v>0</v>
      </c>
      <c r="K269">
        <v>41.4</v>
      </c>
      <c r="L269">
        <v>450</v>
      </c>
      <c r="M269">
        <v>47</v>
      </c>
      <c r="N269">
        <v>0</v>
      </c>
      <c r="O269" t="s">
        <v>30</v>
      </c>
      <c r="P269" t="s">
        <v>31</v>
      </c>
      <c r="Q269">
        <v>0</v>
      </c>
      <c r="S269" t="s">
        <v>32</v>
      </c>
      <c r="U269">
        <v>0</v>
      </c>
      <c r="W269">
        <v>0</v>
      </c>
      <c r="X269">
        <v>0</v>
      </c>
      <c r="Y269" t="s">
        <v>741</v>
      </c>
      <c r="Z269">
        <v>0</v>
      </c>
      <c r="AB269" t="s">
        <v>61</v>
      </c>
    </row>
    <row r="270" spans="1:28" x14ac:dyDescent="0.25">
      <c r="A270" s="2">
        <v>46082</v>
      </c>
      <c r="B270" t="s">
        <v>742</v>
      </c>
      <c r="C270" t="s">
        <v>40</v>
      </c>
      <c r="D270" t="s">
        <v>57</v>
      </c>
      <c r="E270" t="s">
        <v>44</v>
      </c>
      <c r="F270" t="s">
        <v>58</v>
      </c>
      <c r="G270" t="s">
        <v>230</v>
      </c>
      <c r="H270">
        <v>1</v>
      </c>
      <c r="I270">
        <v>22</v>
      </c>
      <c r="J270">
        <v>6.5</v>
      </c>
      <c r="K270">
        <v>15.5</v>
      </c>
      <c r="L270">
        <v>320</v>
      </c>
      <c r="M270">
        <v>47</v>
      </c>
      <c r="N270">
        <v>0</v>
      </c>
      <c r="O270" t="s">
        <v>30</v>
      </c>
      <c r="P270" t="s">
        <v>31</v>
      </c>
      <c r="Q270">
        <v>0</v>
      </c>
      <c r="S270" t="s">
        <v>32</v>
      </c>
      <c r="U270">
        <v>0</v>
      </c>
      <c r="W270">
        <v>0</v>
      </c>
      <c r="X270">
        <v>0</v>
      </c>
      <c r="Y270" t="s">
        <v>743</v>
      </c>
      <c r="Z270">
        <v>0</v>
      </c>
      <c r="AB270" t="s">
        <v>61</v>
      </c>
    </row>
    <row r="271" spans="1:28" x14ac:dyDescent="0.25">
      <c r="A271" s="2">
        <v>46082</v>
      </c>
      <c r="B271" t="s">
        <v>744</v>
      </c>
      <c r="C271" t="s">
        <v>40</v>
      </c>
      <c r="D271" t="s">
        <v>57</v>
      </c>
      <c r="E271" t="s">
        <v>44</v>
      </c>
      <c r="F271" t="s">
        <v>58</v>
      </c>
      <c r="G271" t="s">
        <v>230</v>
      </c>
      <c r="H271">
        <v>1</v>
      </c>
      <c r="I271">
        <v>13.4</v>
      </c>
      <c r="J271">
        <v>2</v>
      </c>
      <c r="K271">
        <v>11.4</v>
      </c>
      <c r="L271">
        <v>300</v>
      </c>
      <c r="M271">
        <v>47</v>
      </c>
      <c r="N271">
        <v>0</v>
      </c>
      <c r="O271" t="s">
        <v>30</v>
      </c>
      <c r="P271" t="s">
        <v>31</v>
      </c>
      <c r="Q271">
        <v>0</v>
      </c>
      <c r="S271" t="s">
        <v>32</v>
      </c>
      <c r="U271">
        <v>0</v>
      </c>
      <c r="W271">
        <v>0</v>
      </c>
      <c r="X271">
        <v>0</v>
      </c>
      <c r="Y271" t="s">
        <v>745</v>
      </c>
      <c r="Z271">
        <v>0</v>
      </c>
      <c r="AB271" t="s">
        <v>61</v>
      </c>
    </row>
    <row r="272" spans="1:28" x14ac:dyDescent="0.25">
      <c r="A272" s="2">
        <v>46082</v>
      </c>
      <c r="B272" t="s">
        <v>746</v>
      </c>
      <c r="C272" t="s">
        <v>49</v>
      </c>
      <c r="D272" t="s">
        <v>57</v>
      </c>
      <c r="E272" t="s">
        <v>44</v>
      </c>
      <c r="F272" t="s">
        <v>58</v>
      </c>
      <c r="G272" t="s">
        <v>230</v>
      </c>
      <c r="H272">
        <v>1</v>
      </c>
      <c r="I272">
        <v>46</v>
      </c>
      <c r="J272">
        <v>12</v>
      </c>
      <c r="K272">
        <v>34</v>
      </c>
      <c r="L272">
        <v>400</v>
      </c>
      <c r="M272">
        <v>47</v>
      </c>
      <c r="N272">
        <v>0</v>
      </c>
      <c r="O272" t="s">
        <v>30</v>
      </c>
      <c r="P272" t="s">
        <v>31</v>
      </c>
      <c r="Q272">
        <v>0</v>
      </c>
      <c r="S272" t="s">
        <v>32</v>
      </c>
      <c r="U272">
        <v>0</v>
      </c>
      <c r="W272">
        <v>0</v>
      </c>
      <c r="X272">
        <v>0</v>
      </c>
      <c r="Y272" t="s">
        <v>747</v>
      </c>
      <c r="Z272">
        <v>0</v>
      </c>
      <c r="AB272" t="s">
        <v>61</v>
      </c>
    </row>
    <row r="273" spans="1:28" x14ac:dyDescent="0.25">
      <c r="A273" s="2">
        <v>46082</v>
      </c>
      <c r="B273" t="s">
        <v>748</v>
      </c>
      <c r="C273" t="s">
        <v>749</v>
      </c>
      <c r="D273" t="s">
        <v>57</v>
      </c>
      <c r="E273" t="s">
        <v>44</v>
      </c>
      <c r="F273" t="s">
        <v>58</v>
      </c>
      <c r="G273" t="s">
        <v>250</v>
      </c>
      <c r="H273">
        <v>1</v>
      </c>
      <c r="I273">
        <v>169.8</v>
      </c>
      <c r="J273">
        <v>31</v>
      </c>
      <c r="K273">
        <v>138.80000000000001</v>
      </c>
      <c r="L273">
        <v>1160</v>
      </c>
      <c r="M273">
        <v>58</v>
      </c>
      <c r="N273">
        <v>0</v>
      </c>
      <c r="O273" t="s">
        <v>251</v>
      </c>
      <c r="P273" t="s">
        <v>31</v>
      </c>
      <c r="Q273">
        <v>0</v>
      </c>
      <c r="S273" t="s">
        <v>32</v>
      </c>
      <c r="U273">
        <v>0</v>
      </c>
      <c r="W273">
        <v>0</v>
      </c>
      <c r="X273">
        <v>0</v>
      </c>
      <c r="Y273" t="s">
        <v>750</v>
      </c>
      <c r="Z273">
        <v>0</v>
      </c>
      <c r="AB273" t="s">
        <v>61</v>
      </c>
    </row>
    <row r="274" spans="1:28" x14ac:dyDescent="0.25">
      <c r="A274" s="2">
        <v>46082</v>
      </c>
      <c r="B274" t="s">
        <v>751</v>
      </c>
      <c r="C274" t="s">
        <v>752</v>
      </c>
      <c r="D274" t="s">
        <v>57</v>
      </c>
      <c r="E274" t="s">
        <v>44</v>
      </c>
      <c r="F274" t="s">
        <v>58</v>
      </c>
      <c r="G274" t="s">
        <v>250</v>
      </c>
      <c r="H274">
        <v>1</v>
      </c>
      <c r="I274">
        <v>48.2</v>
      </c>
      <c r="J274">
        <v>7</v>
      </c>
      <c r="K274">
        <v>41.2</v>
      </c>
      <c r="L274">
        <v>450</v>
      </c>
      <c r="M274">
        <v>58</v>
      </c>
      <c r="N274">
        <v>0</v>
      </c>
      <c r="O274" t="s">
        <v>251</v>
      </c>
      <c r="P274" t="s">
        <v>31</v>
      </c>
      <c r="Q274">
        <v>0</v>
      </c>
      <c r="S274" t="s">
        <v>32</v>
      </c>
      <c r="U274">
        <v>0</v>
      </c>
      <c r="W274">
        <v>0</v>
      </c>
      <c r="X274">
        <v>0</v>
      </c>
      <c r="Y274" t="s">
        <v>753</v>
      </c>
      <c r="Z274">
        <v>0</v>
      </c>
      <c r="AB274" t="s">
        <v>61</v>
      </c>
    </row>
    <row r="275" spans="1:28" x14ac:dyDescent="0.25">
      <c r="A275" s="2">
        <v>46082</v>
      </c>
      <c r="B275" t="s">
        <v>754</v>
      </c>
      <c r="C275" t="s">
        <v>41</v>
      </c>
      <c r="D275" t="s">
        <v>57</v>
      </c>
      <c r="E275" t="s">
        <v>44</v>
      </c>
      <c r="F275" t="s">
        <v>58</v>
      </c>
      <c r="G275" t="s">
        <v>230</v>
      </c>
      <c r="H275">
        <v>1</v>
      </c>
      <c r="I275">
        <v>41.4</v>
      </c>
      <c r="J275">
        <v>12</v>
      </c>
      <c r="K275">
        <v>29.4</v>
      </c>
      <c r="L275">
        <v>350</v>
      </c>
      <c r="M275">
        <v>47</v>
      </c>
      <c r="N275">
        <v>0</v>
      </c>
      <c r="O275" t="s">
        <v>30</v>
      </c>
      <c r="P275" t="s">
        <v>31</v>
      </c>
      <c r="Q275">
        <v>0</v>
      </c>
      <c r="S275" t="s">
        <v>32</v>
      </c>
      <c r="U275">
        <v>0</v>
      </c>
      <c r="W275">
        <v>0</v>
      </c>
      <c r="X275">
        <v>0</v>
      </c>
      <c r="Y275" t="s">
        <v>755</v>
      </c>
      <c r="Z275">
        <v>0</v>
      </c>
      <c r="AB275" t="s">
        <v>61</v>
      </c>
    </row>
    <row r="276" spans="1:28" x14ac:dyDescent="0.25">
      <c r="A276" s="2">
        <v>46082</v>
      </c>
      <c r="B276" t="s">
        <v>756</v>
      </c>
      <c r="C276" t="s">
        <v>757</v>
      </c>
      <c r="D276" t="s">
        <v>57</v>
      </c>
      <c r="E276" t="s">
        <v>53</v>
      </c>
      <c r="F276" t="s">
        <v>58</v>
      </c>
      <c r="G276" t="s">
        <v>250</v>
      </c>
      <c r="H276">
        <v>1</v>
      </c>
      <c r="I276">
        <v>71.8</v>
      </c>
      <c r="J276">
        <v>17.5</v>
      </c>
      <c r="K276">
        <v>54.3</v>
      </c>
      <c r="L276">
        <v>480</v>
      </c>
      <c r="M276">
        <v>58</v>
      </c>
      <c r="N276">
        <v>0</v>
      </c>
      <c r="O276" t="s">
        <v>251</v>
      </c>
      <c r="P276" t="s">
        <v>31</v>
      </c>
      <c r="Q276">
        <v>0</v>
      </c>
      <c r="S276" t="s">
        <v>32</v>
      </c>
      <c r="U276">
        <v>0</v>
      </c>
      <c r="W276">
        <v>0</v>
      </c>
      <c r="X276">
        <v>0</v>
      </c>
      <c r="Y276" t="s">
        <v>758</v>
      </c>
      <c r="Z276">
        <v>0</v>
      </c>
      <c r="AB276" t="s">
        <v>61</v>
      </c>
    </row>
    <row r="277" spans="1:28" x14ac:dyDescent="0.25">
      <c r="A277" s="2">
        <v>46082</v>
      </c>
      <c r="B277" t="s">
        <v>759</v>
      </c>
      <c r="C277" t="s">
        <v>760</v>
      </c>
      <c r="D277" t="s">
        <v>57</v>
      </c>
      <c r="E277" t="s">
        <v>53</v>
      </c>
      <c r="F277" t="s">
        <v>58</v>
      </c>
      <c r="G277" t="s">
        <v>250</v>
      </c>
      <c r="H277">
        <v>1</v>
      </c>
      <c r="I277">
        <v>274.60000000000002</v>
      </c>
      <c r="J277">
        <v>39</v>
      </c>
      <c r="K277">
        <v>235.6</v>
      </c>
      <c r="L277">
        <v>1480</v>
      </c>
      <c r="M277">
        <v>58</v>
      </c>
      <c r="N277">
        <v>0</v>
      </c>
      <c r="O277" t="s">
        <v>251</v>
      </c>
      <c r="P277" t="s">
        <v>31</v>
      </c>
      <c r="Q277">
        <v>0</v>
      </c>
      <c r="S277" t="s">
        <v>32</v>
      </c>
      <c r="U277">
        <v>0</v>
      </c>
      <c r="W277">
        <v>0</v>
      </c>
      <c r="X277">
        <v>0</v>
      </c>
      <c r="Y277" t="s">
        <v>761</v>
      </c>
      <c r="Z277">
        <v>0</v>
      </c>
      <c r="AB277" t="s">
        <v>61</v>
      </c>
    </row>
    <row r="278" spans="1:28" x14ac:dyDescent="0.25">
      <c r="A278" s="2">
        <v>46082</v>
      </c>
      <c r="B278" t="s">
        <v>762</v>
      </c>
      <c r="C278" t="s">
        <v>763</v>
      </c>
      <c r="D278" t="s">
        <v>57</v>
      </c>
      <c r="E278" t="s">
        <v>53</v>
      </c>
      <c r="F278" t="s">
        <v>58</v>
      </c>
      <c r="G278" t="s">
        <v>250</v>
      </c>
      <c r="H278">
        <v>1</v>
      </c>
      <c r="I278">
        <v>190.2</v>
      </c>
      <c r="J278">
        <v>27.5</v>
      </c>
      <c r="K278">
        <v>162.69999999999999</v>
      </c>
      <c r="L278">
        <v>1070</v>
      </c>
      <c r="M278">
        <v>58</v>
      </c>
      <c r="N278">
        <v>0</v>
      </c>
      <c r="O278" t="s">
        <v>251</v>
      </c>
      <c r="P278" t="s">
        <v>31</v>
      </c>
      <c r="Q278">
        <v>0</v>
      </c>
      <c r="S278" t="s">
        <v>32</v>
      </c>
      <c r="U278">
        <v>0</v>
      </c>
      <c r="W278">
        <v>0</v>
      </c>
      <c r="X278">
        <v>0</v>
      </c>
      <c r="Y278" t="s">
        <v>764</v>
      </c>
      <c r="Z278">
        <v>0</v>
      </c>
      <c r="AB278" t="s">
        <v>61</v>
      </c>
    </row>
    <row r="279" spans="1:28" x14ac:dyDescent="0.25">
      <c r="A279" s="2">
        <v>46082</v>
      </c>
      <c r="B279" t="s">
        <v>765</v>
      </c>
      <c r="C279" t="s">
        <v>766</v>
      </c>
      <c r="D279" t="s">
        <v>57</v>
      </c>
      <c r="E279" t="s">
        <v>53</v>
      </c>
      <c r="F279" t="s">
        <v>58</v>
      </c>
      <c r="G279" t="s">
        <v>250</v>
      </c>
      <c r="H279">
        <v>1</v>
      </c>
      <c r="I279">
        <v>191.6</v>
      </c>
      <c r="J279">
        <v>30</v>
      </c>
      <c r="K279">
        <v>161.6</v>
      </c>
      <c r="L279">
        <v>1070</v>
      </c>
      <c r="M279">
        <v>58</v>
      </c>
      <c r="N279">
        <v>0</v>
      </c>
      <c r="O279" t="s">
        <v>251</v>
      </c>
      <c r="P279" t="s">
        <v>31</v>
      </c>
      <c r="Q279">
        <v>0</v>
      </c>
      <c r="S279" t="s">
        <v>32</v>
      </c>
      <c r="U279">
        <v>0</v>
      </c>
      <c r="W279">
        <v>0</v>
      </c>
      <c r="X279">
        <v>0</v>
      </c>
      <c r="Y279" t="s">
        <v>767</v>
      </c>
      <c r="Z279">
        <v>0</v>
      </c>
      <c r="AB279" t="s">
        <v>61</v>
      </c>
    </row>
    <row r="280" spans="1:28" x14ac:dyDescent="0.25">
      <c r="A280" s="2">
        <v>46082</v>
      </c>
      <c r="B280" t="s">
        <v>768</v>
      </c>
      <c r="C280" t="s">
        <v>769</v>
      </c>
      <c r="D280" t="s">
        <v>57</v>
      </c>
      <c r="E280" t="s">
        <v>53</v>
      </c>
      <c r="F280" t="s">
        <v>58</v>
      </c>
      <c r="G280" t="s">
        <v>250</v>
      </c>
      <c r="H280">
        <v>1</v>
      </c>
      <c r="I280">
        <v>41</v>
      </c>
      <c r="J280">
        <v>3.5</v>
      </c>
      <c r="K280">
        <v>37.5</v>
      </c>
      <c r="L280">
        <v>390</v>
      </c>
      <c r="M280">
        <v>58</v>
      </c>
      <c r="N280">
        <v>0</v>
      </c>
      <c r="O280" t="s">
        <v>251</v>
      </c>
      <c r="P280" t="s">
        <v>31</v>
      </c>
      <c r="Q280">
        <v>0</v>
      </c>
      <c r="S280" t="s">
        <v>32</v>
      </c>
      <c r="U280">
        <v>0</v>
      </c>
      <c r="W280">
        <v>0</v>
      </c>
      <c r="X280">
        <v>0</v>
      </c>
      <c r="Y280" t="s">
        <v>770</v>
      </c>
      <c r="Z280">
        <v>0</v>
      </c>
      <c r="AB280" t="s">
        <v>61</v>
      </c>
    </row>
    <row r="281" spans="1:28" x14ac:dyDescent="0.25">
      <c r="A281" s="2">
        <v>46082</v>
      </c>
      <c r="B281" t="s">
        <v>771</v>
      </c>
      <c r="C281" t="s">
        <v>752</v>
      </c>
      <c r="D281" t="s">
        <v>57</v>
      </c>
      <c r="E281" t="s">
        <v>194</v>
      </c>
      <c r="F281" t="s">
        <v>58</v>
      </c>
      <c r="G281" t="s">
        <v>250</v>
      </c>
      <c r="H281">
        <v>1</v>
      </c>
      <c r="I281">
        <v>62</v>
      </c>
      <c r="J281">
        <v>16</v>
      </c>
      <c r="K281">
        <v>46</v>
      </c>
      <c r="L281">
        <v>500</v>
      </c>
      <c r="M281">
        <v>58</v>
      </c>
      <c r="N281">
        <v>0</v>
      </c>
      <c r="O281" t="s">
        <v>251</v>
      </c>
      <c r="P281" t="s">
        <v>31</v>
      </c>
      <c r="Q281">
        <v>0</v>
      </c>
      <c r="S281" t="s">
        <v>32</v>
      </c>
      <c r="U281">
        <v>0</v>
      </c>
      <c r="W281">
        <v>0</v>
      </c>
      <c r="X281">
        <v>0</v>
      </c>
      <c r="Y281" t="s">
        <v>772</v>
      </c>
      <c r="Z281">
        <v>0</v>
      </c>
      <c r="AB281" t="s">
        <v>61</v>
      </c>
    </row>
    <row r="282" spans="1:28" x14ac:dyDescent="0.25">
      <c r="A282" s="2">
        <v>46082</v>
      </c>
      <c r="B282" t="s">
        <v>773</v>
      </c>
      <c r="C282" t="s">
        <v>54</v>
      </c>
      <c r="D282" t="s">
        <v>57</v>
      </c>
      <c r="E282" t="s">
        <v>194</v>
      </c>
      <c r="F282" t="s">
        <v>58</v>
      </c>
      <c r="G282" t="s">
        <v>250</v>
      </c>
      <c r="H282">
        <v>1</v>
      </c>
      <c r="I282">
        <v>50</v>
      </c>
      <c r="J282">
        <v>8</v>
      </c>
      <c r="K282">
        <v>42</v>
      </c>
      <c r="L282">
        <v>430</v>
      </c>
      <c r="M282">
        <v>58</v>
      </c>
      <c r="N282">
        <v>0</v>
      </c>
      <c r="O282" t="s">
        <v>251</v>
      </c>
      <c r="P282" t="s">
        <v>31</v>
      </c>
      <c r="Q282">
        <v>0</v>
      </c>
      <c r="S282" t="s">
        <v>32</v>
      </c>
      <c r="U282">
        <v>0</v>
      </c>
      <c r="W282">
        <v>0</v>
      </c>
      <c r="X282">
        <v>0</v>
      </c>
      <c r="Y282" t="s">
        <v>774</v>
      </c>
      <c r="Z282">
        <v>0</v>
      </c>
      <c r="AB282" t="s">
        <v>61</v>
      </c>
    </row>
  </sheetData>
  <autoFilter ref="A2:AB282" xr:uid="{00000000-0009-0000-0000-000000000000}"/>
  <mergeCells count="1">
    <mergeCell ref="A1:AB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6"/>
  <sheetViews>
    <sheetView workbookViewId="0">
      <selection activeCell="E22" sqref="E22"/>
    </sheetView>
  </sheetViews>
  <sheetFormatPr defaultRowHeight="15" x14ac:dyDescent="0.25"/>
  <cols>
    <col min="1" max="1" width="10.85546875" customWidth="1"/>
    <col min="2" max="2" width="9.42578125" customWidth="1"/>
    <col min="3" max="3" width="23.7109375" customWidth="1"/>
    <col min="4" max="4" width="10.7109375" customWidth="1"/>
    <col min="5" max="5" width="15.85546875" customWidth="1"/>
    <col min="6" max="6" width="6.7109375" customWidth="1"/>
    <col min="7" max="7" width="12.42578125" customWidth="1"/>
    <col min="8" max="8" width="10.85546875" customWidth="1"/>
    <col min="9" max="9" width="12.28515625" customWidth="1"/>
    <col min="10" max="10" width="14.140625" customWidth="1"/>
    <col min="11" max="11" width="13.5703125" customWidth="1"/>
    <col min="12" max="12" width="20.7109375" customWidth="1"/>
  </cols>
  <sheetData>
    <row r="1" spans="1:12" ht="27" thickBot="1" x14ac:dyDescent="0.4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ht="18.75" thickTop="1" thickBot="1" x14ac:dyDescent="0.35">
      <c r="A2" s="1" t="s">
        <v>1</v>
      </c>
      <c r="B2" s="1" t="s">
        <v>778</v>
      </c>
      <c r="C2" s="1" t="s">
        <v>779</v>
      </c>
      <c r="D2" s="1" t="s">
        <v>4</v>
      </c>
      <c r="E2" s="1" t="s">
        <v>5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28</v>
      </c>
    </row>
    <row r="3" spans="1:12" ht="15.75" thickTop="1" x14ac:dyDescent="0.25">
      <c r="A3" s="2">
        <v>46082</v>
      </c>
      <c r="B3" t="s">
        <v>777</v>
      </c>
      <c r="C3" t="s">
        <v>776</v>
      </c>
      <c r="D3" s="3" t="s">
        <v>792</v>
      </c>
      <c r="F3">
        <v>18</v>
      </c>
      <c r="G3">
        <v>150</v>
      </c>
      <c r="H3">
        <v>0</v>
      </c>
      <c r="I3">
        <v>150</v>
      </c>
      <c r="L3" t="s">
        <v>606</v>
      </c>
    </row>
    <row r="4" spans="1:12" x14ac:dyDescent="0.25">
      <c r="A4" s="2">
        <v>46081</v>
      </c>
      <c r="B4" t="s">
        <v>781</v>
      </c>
      <c r="C4" t="s">
        <v>787</v>
      </c>
      <c r="D4" s="3" t="s">
        <v>775</v>
      </c>
      <c r="F4">
        <v>36</v>
      </c>
      <c r="G4">
        <v>38.162000000000006</v>
      </c>
      <c r="H4">
        <v>0.20499999999999999</v>
      </c>
      <c r="I4">
        <v>37.957000000000001</v>
      </c>
      <c r="J4" s="4">
        <v>26980000</v>
      </c>
      <c r="K4" s="4">
        <v>5546000</v>
      </c>
      <c r="L4" s="2" t="s">
        <v>61</v>
      </c>
    </row>
    <row r="5" spans="1:12" x14ac:dyDescent="0.25">
      <c r="A5" s="2">
        <v>46081</v>
      </c>
      <c r="B5" t="s">
        <v>782</v>
      </c>
      <c r="C5" t="s">
        <v>788</v>
      </c>
      <c r="D5" s="3" t="s">
        <v>775</v>
      </c>
      <c r="F5">
        <v>21</v>
      </c>
      <c r="G5">
        <v>24.221999999999998</v>
      </c>
      <c r="H5">
        <v>2.8680000000000003</v>
      </c>
      <c r="I5">
        <v>21.353999999999999</v>
      </c>
      <c r="J5" s="4">
        <v>17130000</v>
      </c>
      <c r="K5" s="4">
        <v>2820000</v>
      </c>
      <c r="L5" s="2" t="s">
        <v>61</v>
      </c>
    </row>
    <row r="6" spans="1:12" x14ac:dyDescent="0.25">
      <c r="A6" s="2">
        <v>46081</v>
      </c>
      <c r="B6" t="s">
        <v>785</v>
      </c>
      <c r="C6" t="s">
        <v>791</v>
      </c>
      <c r="D6" s="3" t="s">
        <v>775</v>
      </c>
      <c r="F6">
        <v>8</v>
      </c>
      <c r="G6">
        <v>19.888000000000002</v>
      </c>
      <c r="H6">
        <v>1.827</v>
      </c>
      <c r="I6">
        <v>18.061</v>
      </c>
      <c r="J6" s="4">
        <v>11850000</v>
      </c>
      <c r="K6" s="4">
        <v>1310000</v>
      </c>
      <c r="L6" s="2" t="s">
        <v>61</v>
      </c>
    </row>
    <row r="7" spans="1:12" x14ac:dyDescent="0.25">
      <c r="A7" s="2">
        <v>46082</v>
      </c>
      <c r="B7" t="s">
        <v>780</v>
      </c>
      <c r="C7" t="s">
        <v>786</v>
      </c>
      <c r="D7" s="3" t="s">
        <v>775</v>
      </c>
      <c r="F7">
        <v>54</v>
      </c>
      <c r="G7">
        <v>24.489999999999995</v>
      </c>
      <c r="H7">
        <v>4.577</v>
      </c>
      <c r="I7">
        <v>19.912999999999997</v>
      </c>
      <c r="J7" s="4">
        <v>25940000</v>
      </c>
      <c r="K7" s="4">
        <v>2557000</v>
      </c>
      <c r="L7" s="2" t="s">
        <v>61</v>
      </c>
    </row>
    <row r="8" spans="1:12" x14ac:dyDescent="0.25">
      <c r="A8" s="2">
        <v>46082</v>
      </c>
      <c r="B8" t="s">
        <v>783</v>
      </c>
      <c r="C8" t="s">
        <v>789</v>
      </c>
      <c r="D8" s="3" t="s">
        <v>775</v>
      </c>
      <c r="F8">
        <v>40</v>
      </c>
      <c r="G8">
        <v>13.51</v>
      </c>
      <c r="H8">
        <v>2.8169999999999997</v>
      </c>
      <c r="I8">
        <v>10.693</v>
      </c>
      <c r="J8" s="4">
        <v>16540000</v>
      </c>
      <c r="K8" s="4">
        <v>1280000</v>
      </c>
      <c r="L8" s="2" t="s">
        <v>61</v>
      </c>
    </row>
    <row r="9" spans="1:12" x14ac:dyDescent="0.25">
      <c r="A9" s="2">
        <v>46082</v>
      </c>
      <c r="B9" t="s">
        <v>784</v>
      </c>
      <c r="C9" t="s">
        <v>790</v>
      </c>
      <c r="D9" s="3" t="s">
        <v>775</v>
      </c>
      <c r="F9">
        <v>44</v>
      </c>
      <c r="G9">
        <v>33.650000000000006</v>
      </c>
      <c r="H9">
        <v>6.2870000000000008</v>
      </c>
      <c r="I9">
        <v>27.363000000000003</v>
      </c>
      <c r="J9" s="4">
        <v>28290000</v>
      </c>
      <c r="K9" s="4">
        <v>2576000</v>
      </c>
      <c r="L9" s="2" t="s">
        <v>61</v>
      </c>
    </row>
    <row r="10" spans="1:12" x14ac:dyDescent="0.25">
      <c r="A10" s="2"/>
      <c r="D10" s="3"/>
    </row>
    <row r="11" spans="1:12" x14ac:dyDescent="0.25">
      <c r="A11" s="2"/>
      <c r="D11" s="3"/>
    </row>
    <row r="12" spans="1:12" x14ac:dyDescent="0.25">
      <c r="A12" s="2"/>
      <c r="D12" s="3"/>
    </row>
    <row r="13" spans="1:12" x14ac:dyDescent="0.25">
      <c r="A13" s="2"/>
      <c r="D13" s="3"/>
    </row>
    <row r="14" spans="1:12" x14ac:dyDescent="0.25">
      <c r="A14" s="2"/>
      <c r="D14" s="3"/>
    </row>
    <row r="15" spans="1:12" x14ac:dyDescent="0.25">
      <c r="A15" s="2"/>
      <c r="D15" s="3"/>
    </row>
    <row r="16" spans="1:12" x14ac:dyDescent="0.25">
      <c r="A16" s="2"/>
      <c r="D16" s="3"/>
    </row>
    <row r="17" spans="1:4" x14ac:dyDescent="0.25">
      <c r="A17" s="2"/>
      <c r="D17" s="3"/>
    </row>
    <row r="18" spans="1:4" x14ac:dyDescent="0.25">
      <c r="A18" s="2"/>
      <c r="D18" s="3"/>
    </row>
    <row r="19" spans="1:4" x14ac:dyDescent="0.25">
      <c r="A19" s="2"/>
      <c r="D19" s="3"/>
    </row>
    <row r="20" spans="1:4" x14ac:dyDescent="0.25">
      <c r="A20" s="2"/>
      <c r="D20" s="3"/>
    </row>
    <row r="21" spans="1:4" x14ac:dyDescent="0.25">
      <c r="A21" s="2"/>
      <c r="D21" s="3"/>
    </row>
    <row r="22" spans="1:4" x14ac:dyDescent="0.25">
      <c r="A22" s="2"/>
      <c r="D22" s="3"/>
    </row>
    <row r="23" spans="1:4" x14ac:dyDescent="0.25">
      <c r="A23" s="2"/>
      <c r="D23" s="3"/>
    </row>
    <row r="24" spans="1:4" x14ac:dyDescent="0.25">
      <c r="A24" s="2"/>
      <c r="D24" s="3"/>
    </row>
    <row r="25" spans="1:4" x14ac:dyDescent="0.25">
      <c r="A25" s="2"/>
      <c r="D25" s="3"/>
    </row>
    <row r="26" spans="1:4" x14ac:dyDescent="0.25">
      <c r="A26" s="2"/>
      <c r="D26" s="3"/>
    </row>
    <row r="27" spans="1:4" x14ac:dyDescent="0.25">
      <c r="A27" s="2"/>
      <c r="D27" s="3"/>
    </row>
    <row r="28" spans="1:4" x14ac:dyDescent="0.25">
      <c r="A28" s="2"/>
      <c r="D28" s="3"/>
    </row>
    <row r="29" spans="1:4" x14ac:dyDescent="0.25">
      <c r="A29" s="2"/>
      <c r="D29" s="3"/>
    </row>
    <row r="30" spans="1:4" x14ac:dyDescent="0.25">
      <c r="A30" s="2"/>
      <c r="D30" s="3"/>
    </row>
    <row r="31" spans="1:4" x14ac:dyDescent="0.25">
      <c r="A31" s="2"/>
      <c r="D31" s="3"/>
    </row>
    <row r="32" spans="1:4" x14ac:dyDescent="0.25">
      <c r="A32" s="2"/>
      <c r="D32" s="3"/>
    </row>
    <row r="33" spans="1:4" x14ac:dyDescent="0.25">
      <c r="A33" s="2"/>
      <c r="D33" s="3"/>
    </row>
    <row r="34" spans="1:4" x14ac:dyDescent="0.25">
      <c r="A34" s="2"/>
      <c r="D34" s="3"/>
    </row>
    <row r="35" spans="1:4" x14ac:dyDescent="0.25">
      <c r="A35" s="2"/>
      <c r="D35" s="3"/>
    </row>
    <row r="36" spans="1:4" x14ac:dyDescent="0.25">
      <c r="A36" s="2"/>
      <c r="D36" s="3"/>
    </row>
    <row r="37" spans="1:4" x14ac:dyDescent="0.25">
      <c r="A37" s="2"/>
      <c r="D37" s="3"/>
    </row>
    <row r="38" spans="1:4" x14ac:dyDescent="0.25">
      <c r="A38" s="2"/>
      <c r="D38" s="3"/>
    </row>
    <row r="39" spans="1:4" x14ac:dyDescent="0.25">
      <c r="A39" s="2"/>
      <c r="D39" s="3"/>
    </row>
    <row r="40" spans="1:4" x14ac:dyDescent="0.25">
      <c r="A40" s="2"/>
      <c r="D40" s="3"/>
    </row>
    <row r="41" spans="1:4" x14ac:dyDescent="0.25">
      <c r="A41" s="2"/>
      <c r="D41" s="3"/>
    </row>
    <row r="42" spans="1:4" x14ac:dyDescent="0.25">
      <c r="A42" s="2"/>
      <c r="D42" s="3"/>
    </row>
    <row r="43" spans="1:4" x14ac:dyDescent="0.25">
      <c r="A43" s="2"/>
      <c r="D43" s="3"/>
    </row>
    <row r="44" spans="1:4" x14ac:dyDescent="0.25">
      <c r="A44" s="2"/>
      <c r="D44" s="3"/>
    </row>
    <row r="45" spans="1:4" x14ac:dyDescent="0.25">
      <c r="A45" s="2"/>
      <c r="D45" s="3"/>
    </row>
    <row r="46" spans="1:4" x14ac:dyDescent="0.25">
      <c r="A46" s="2"/>
      <c r="D46" s="3"/>
    </row>
    <row r="47" spans="1:4" x14ac:dyDescent="0.25">
      <c r="A47" s="2"/>
      <c r="D47" s="3"/>
    </row>
    <row r="48" spans="1:4" x14ac:dyDescent="0.25">
      <c r="A48" s="2"/>
      <c r="D48" s="3"/>
    </row>
    <row r="49" spans="1:4" x14ac:dyDescent="0.25">
      <c r="A49" s="2"/>
      <c r="D49" s="3"/>
    </row>
    <row r="50" spans="1:4" x14ac:dyDescent="0.25">
      <c r="A50" s="2"/>
      <c r="D50" s="3"/>
    </row>
    <row r="51" spans="1:4" x14ac:dyDescent="0.25">
      <c r="A51" s="2"/>
      <c r="D51" s="3"/>
    </row>
    <row r="52" spans="1:4" x14ac:dyDescent="0.25">
      <c r="A52" s="2"/>
      <c r="D52" s="3"/>
    </row>
    <row r="53" spans="1:4" x14ac:dyDescent="0.25">
      <c r="A53" s="2"/>
      <c r="D53" s="3"/>
    </row>
    <row r="54" spans="1:4" x14ac:dyDescent="0.25">
      <c r="A54" s="2"/>
      <c r="D54" s="3"/>
    </row>
    <row r="55" spans="1:4" x14ac:dyDescent="0.25">
      <c r="A55" s="2"/>
      <c r="D55" s="3"/>
    </row>
    <row r="56" spans="1:4" x14ac:dyDescent="0.25">
      <c r="A56" s="2"/>
      <c r="D56" s="3"/>
    </row>
    <row r="57" spans="1:4" x14ac:dyDescent="0.25">
      <c r="A57" s="2"/>
      <c r="D57" s="3"/>
    </row>
    <row r="58" spans="1:4" x14ac:dyDescent="0.25">
      <c r="A58" s="2"/>
      <c r="D58" s="3"/>
    </row>
    <row r="59" spans="1:4" x14ac:dyDescent="0.25">
      <c r="A59" s="2"/>
      <c r="D59" s="3"/>
    </row>
    <row r="60" spans="1:4" x14ac:dyDescent="0.25">
      <c r="A60" s="2"/>
      <c r="D60" s="3"/>
    </row>
    <row r="61" spans="1:4" x14ac:dyDescent="0.25">
      <c r="A61" s="2"/>
      <c r="D61" s="3"/>
    </row>
    <row r="62" spans="1:4" x14ac:dyDescent="0.25">
      <c r="A62" s="2"/>
      <c r="D62" s="3"/>
    </row>
    <row r="63" spans="1:4" x14ac:dyDescent="0.25">
      <c r="A63" s="2"/>
      <c r="D63" s="3"/>
    </row>
    <row r="64" spans="1:4" x14ac:dyDescent="0.25">
      <c r="A64" s="2"/>
      <c r="D64" s="3"/>
    </row>
    <row r="65" spans="1:4" x14ac:dyDescent="0.25">
      <c r="A65" s="2"/>
      <c r="D65" s="3"/>
    </row>
    <row r="66" spans="1:4" x14ac:dyDescent="0.25">
      <c r="A66" s="2"/>
      <c r="D66" s="3"/>
    </row>
    <row r="67" spans="1:4" x14ac:dyDescent="0.25">
      <c r="A67" s="2"/>
      <c r="D67" s="3"/>
    </row>
    <row r="68" spans="1:4" x14ac:dyDescent="0.25">
      <c r="A68" s="2"/>
      <c r="D68" s="3"/>
    </row>
    <row r="69" spans="1:4" x14ac:dyDescent="0.25">
      <c r="A69" s="2"/>
      <c r="D69" s="3"/>
    </row>
    <row r="70" spans="1:4" x14ac:dyDescent="0.25">
      <c r="A70" s="2"/>
      <c r="D70" s="3"/>
    </row>
    <row r="71" spans="1:4" x14ac:dyDescent="0.25">
      <c r="A71" s="2"/>
      <c r="D71" s="3"/>
    </row>
    <row r="72" spans="1:4" x14ac:dyDescent="0.25">
      <c r="A72" s="2"/>
      <c r="D72" s="3"/>
    </row>
    <row r="73" spans="1:4" x14ac:dyDescent="0.25">
      <c r="A73" s="2"/>
      <c r="D73" s="3"/>
    </row>
    <row r="74" spans="1:4" x14ac:dyDescent="0.25">
      <c r="A74" s="2"/>
      <c r="D74" s="3"/>
    </row>
    <row r="75" spans="1:4" x14ac:dyDescent="0.25">
      <c r="A75" s="2"/>
      <c r="D75" s="3"/>
    </row>
    <row r="76" spans="1:4" x14ac:dyDescent="0.25">
      <c r="A76" s="2"/>
      <c r="D76" s="3"/>
    </row>
    <row r="77" spans="1:4" x14ac:dyDescent="0.25">
      <c r="A77" s="2"/>
      <c r="D77" s="3"/>
    </row>
    <row r="78" spans="1:4" x14ac:dyDescent="0.25">
      <c r="A78" s="2"/>
      <c r="D78" s="3"/>
    </row>
    <row r="79" spans="1:4" x14ac:dyDescent="0.25">
      <c r="A79" s="2"/>
      <c r="D79" s="3"/>
    </row>
    <row r="80" spans="1:4" x14ac:dyDescent="0.25">
      <c r="A80" s="2"/>
      <c r="D80" s="3"/>
    </row>
    <row r="81" spans="1:4" x14ac:dyDescent="0.25">
      <c r="A81" s="2"/>
      <c r="D81" s="3"/>
    </row>
    <row r="82" spans="1:4" x14ac:dyDescent="0.25">
      <c r="A82" s="2"/>
      <c r="D82" s="3"/>
    </row>
    <row r="83" spans="1:4" x14ac:dyDescent="0.25">
      <c r="A83" s="2"/>
      <c r="D83" s="3"/>
    </row>
    <row r="84" spans="1:4" x14ac:dyDescent="0.25">
      <c r="A84" s="2"/>
      <c r="D84" s="3"/>
    </row>
    <row r="85" spans="1:4" x14ac:dyDescent="0.25">
      <c r="A85" s="2"/>
      <c r="D85" s="3"/>
    </row>
    <row r="86" spans="1:4" x14ac:dyDescent="0.25">
      <c r="A86" s="2"/>
      <c r="D86" s="3"/>
    </row>
    <row r="87" spans="1:4" x14ac:dyDescent="0.25">
      <c r="A87" s="2"/>
      <c r="D87" s="3"/>
    </row>
    <row r="88" spans="1:4" x14ac:dyDescent="0.25">
      <c r="A88" s="2"/>
      <c r="D88" s="3"/>
    </row>
    <row r="89" spans="1:4" x14ac:dyDescent="0.25">
      <c r="A89" s="2"/>
      <c r="D89" s="3"/>
    </row>
    <row r="90" spans="1:4" x14ac:dyDescent="0.25">
      <c r="A90" s="2"/>
      <c r="D90" s="3"/>
    </row>
    <row r="91" spans="1:4" x14ac:dyDescent="0.25">
      <c r="A91" s="2"/>
      <c r="D91" s="3"/>
    </row>
    <row r="92" spans="1:4" x14ac:dyDescent="0.25">
      <c r="A92" s="2"/>
      <c r="D92" s="3"/>
    </row>
    <row r="93" spans="1:4" x14ac:dyDescent="0.25">
      <c r="A93" s="2"/>
      <c r="D93" s="3"/>
    </row>
    <row r="94" spans="1:4" x14ac:dyDescent="0.25">
      <c r="A94" s="2"/>
      <c r="D94" s="3"/>
    </row>
    <row r="95" spans="1:4" x14ac:dyDescent="0.25">
      <c r="A95" s="2"/>
      <c r="D95" s="3"/>
    </row>
    <row r="96" spans="1:4" x14ac:dyDescent="0.25">
      <c r="A96" s="2"/>
      <c r="D96" s="3"/>
    </row>
    <row r="97" spans="1:4" x14ac:dyDescent="0.25">
      <c r="A97" s="2"/>
      <c r="D97" s="3"/>
    </row>
    <row r="98" spans="1:4" x14ac:dyDescent="0.25">
      <c r="A98" s="2"/>
      <c r="D98" s="3"/>
    </row>
    <row r="99" spans="1:4" x14ac:dyDescent="0.25">
      <c r="A99" s="2"/>
      <c r="D99" s="3"/>
    </row>
    <row r="100" spans="1:4" x14ac:dyDescent="0.25">
      <c r="A100" s="2"/>
      <c r="D100" s="3"/>
    </row>
    <row r="101" spans="1:4" x14ac:dyDescent="0.25">
      <c r="A101" s="2"/>
      <c r="D101" s="3"/>
    </row>
    <row r="102" spans="1:4" x14ac:dyDescent="0.25">
      <c r="A102" s="2"/>
      <c r="D102" s="3"/>
    </row>
    <row r="103" spans="1:4" x14ac:dyDescent="0.25">
      <c r="A103" s="2"/>
      <c r="D103" s="3"/>
    </row>
    <row r="104" spans="1:4" x14ac:dyDescent="0.25">
      <c r="A104" s="2"/>
      <c r="D104" s="3"/>
    </row>
    <row r="105" spans="1:4" x14ac:dyDescent="0.25">
      <c r="A105" s="2"/>
      <c r="D105" s="3"/>
    </row>
    <row r="106" spans="1:4" x14ac:dyDescent="0.25">
      <c r="A106" s="2"/>
      <c r="D106" s="3"/>
    </row>
    <row r="107" spans="1:4" x14ac:dyDescent="0.25">
      <c r="A107" s="2"/>
      <c r="D107" s="3"/>
    </row>
    <row r="108" spans="1:4" x14ac:dyDescent="0.25">
      <c r="A108" s="2"/>
      <c r="D108" s="3"/>
    </row>
    <row r="109" spans="1:4" x14ac:dyDescent="0.25">
      <c r="A109" s="2"/>
      <c r="D109" s="3"/>
    </row>
    <row r="110" spans="1:4" x14ac:dyDescent="0.25">
      <c r="A110" s="2"/>
      <c r="D110" s="3"/>
    </row>
    <row r="111" spans="1:4" x14ac:dyDescent="0.25">
      <c r="A111" s="2"/>
      <c r="D111" s="3"/>
    </row>
    <row r="112" spans="1:4" x14ac:dyDescent="0.25">
      <c r="A112" s="2"/>
      <c r="D112" s="3"/>
    </row>
    <row r="113" spans="1:4" x14ac:dyDescent="0.25">
      <c r="A113" s="2"/>
      <c r="D113" s="3"/>
    </row>
    <row r="114" spans="1:4" x14ac:dyDescent="0.25">
      <c r="A114" s="2"/>
      <c r="D114" s="3"/>
    </row>
    <row r="115" spans="1:4" x14ac:dyDescent="0.25">
      <c r="A115" s="2"/>
      <c r="D115" s="3"/>
    </row>
    <row r="116" spans="1:4" x14ac:dyDescent="0.25">
      <c r="A116" s="2"/>
      <c r="D116" s="3"/>
    </row>
    <row r="117" spans="1:4" x14ac:dyDescent="0.25">
      <c r="A117" s="2"/>
      <c r="D117" s="3"/>
    </row>
    <row r="118" spans="1:4" x14ac:dyDescent="0.25">
      <c r="A118" s="2"/>
      <c r="D118" s="3"/>
    </row>
    <row r="119" spans="1:4" x14ac:dyDescent="0.25">
      <c r="A119" s="2"/>
      <c r="D119" s="3"/>
    </row>
    <row r="120" spans="1:4" x14ac:dyDescent="0.25">
      <c r="A120" s="2"/>
      <c r="D120" s="3"/>
    </row>
    <row r="121" spans="1:4" x14ac:dyDescent="0.25">
      <c r="A121" s="2"/>
      <c r="D121" s="3"/>
    </row>
    <row r="122" spans="1:4" x14ac:dyDescent="0.25">
      <c r="A122" s="2"/>
      <c r="D122" s="3"/>
    </row>
    <row r="123" spans="1:4" x14ac:dyDescent="0.25">
      <c r="A123" s="2"/>
      <c r="D123" s="3"/>
    </row>
    <row r="124" spans="1:4" x14ac:dyDescent="0.25">
      <c r="A124" s="2"/>
      <c r="D124" s="3"/>
    </row>
    <row r="125" spans="1:4" x14ac:dyDescent="0.25">
      <c r="A125" s="2"/>
      <c r="D125" s="3"/>
    </row>
    <row r="126" spans="1:4" x14ac:dyDescent="0.25">
      <c r="A126" s="2"/>
      <c r="D126" s="3"/>
    </row>
    <row r="127" spans="1:4" x14ac:dyDescent="0.25">
      <c r="A127" s="2"/>
      <c r="D127" s="3"/>
    </row>
    <row r="128" spans="1:4" x14ac:dyDescent="0.25">
      <c r="A128" s="2"/>
      <c r="D128" s="3"/>
    </row>
    <row r="129" spans="1:4" x14ac:dyDescent="0.25">
      <c r="A129" s="2"/>
      <c r="D129" s="3"/>
    </row>
    <row r="130" spans="1:4" x14ac:dyDescent="0.25">
      <c r="A130" s="2"/>
      <c r="D130" s="3"/>
    </row>
    <row r="131" spans="1:4" x14ac:dyDescent="0.25">
      <c r="A131" s="2"/>
      <c r="D131" s="3"/>
    </row>
    <row r="132" spans="1:4" x14ac:dyDescent="0.25">
      <c r="A132" s="2"/>
      <c r="D132" s="3"/>
    </row>
    <row r="133" spans="1:4" x14ac:dyDescent="0.25">
      <c r="A133" s="2"/>
      <c r="D133" s="3"/>
    </row>
    <row r="134" spans="1:4" x14ac:dyDescent="0.25">
      <c r="A134" s="2"/>
      <c r="D134" s="3"/>
    </row>
    <row r="135" spans="1:4" x14ac:dyDescent="0.25">
      <c r="A135" s="2"/>
      <c r="D135" s="3"/>
    </row>
    <row r="136" spans="1:4" x14ac:dyDescent="0.25">
      <c r="A136" s="2"/>
      <c r="D136" s="3"/>
    </row>
    <row r="137" spans="1:4" x14ac:dyDescent="0.25">
      <c r="A137" s="2"/>
      <c r="D137" s="3"/>
    </row>
    <row r="138" spans="1:4" x14ac:dyDescent="0.25">
      <c r="A138" s="2"/>
      <c r="D138" s="3"/>
    </row>
    <row r="139" spans="1:4" x14ac:dyDescent="0.25">
      <c r="A139" s="2"/>
      <c r="D139" s="3"/>
    </row>
    <row r="140" spans="1:4" x14ac:dyDescent="0.25">
      <c r="A140" s="2"/>
      <c r="D140" s="3"/>
    </row>
    <row r="141" spans="1:4" x14ac:dyDescent="0.25">
      <c r="A141" s="2"/>
      <c r="D141" s="3"/>
    </row>
    <row r="142" spans="1:4" x14ac:dyDescent="0.25">
      <c r="A142" s="2"/>
      <c r="D142" s="3"/>
    </row>
    <row r="143" spans="1:4" x14ac:dyDescent="0.25">
      <c r="A143" s="2"/>
      <c r="D143" s="3"/>
    </row>
    <row r="144" spans="1:4" x14ac:dyDescent="0.25">
      <c r="A144" s="2"/>
      <c r="D144" s="3"/>
    </row>
    <row r="145" spans="1:4" x14ac:dyDescent="0.25">
      <c r="A145" s="2"/>
      <c r="D145" s="3"/>
    </row>
    <row r="146" spans="1:4" x14ac:dyDescent="0.25">
      <c r="A146" s="2"/>
      <c r="D146" s="3"/>
    </row>
    <row r="147" spans="1:4" x14ac:dyDescent="0.25">
      <c r="A147" s="2"/>
      <c r="D147" s="3"/>
    </row>
    <row r="148" spans="1:4" x14ac:dyDescent="0.25">
      <c r="A148" s="2"/>
      <c r="D148" s="3"/>
    </row>
    <row r="149" spans="1:4" x14ac:dyDescent="0.25">
      <c r="A149" s="2"/>
      <c r="D149" s="3"/>
    </row>
    <row r="150" spans="1:4" x14ac:dyDescent="0.25">
      <c r="A150" s="2"/>
      <c r="D150" s="3"/>
    </row>
    <row r="151" spans="1:4" x14ac:dyDescent="0.25">
      <c r="A151" s="2"/>
      <c r="D151" s="3"/>
    </row>
    <row r="152" spans="1:4" x14ac:dyDescent="0.25">
      <c r="A152" s="2"/>
      <c r="D152" s="3"/>
    </row>
    <row r="153" spans="1:4" x14ac:dyDescent="0.25">
      <c r="A153" s="2"/>
      <c r="D153" s="3"/>
    </row>
    <row r="154" spans="1:4" x14ac:dyDescent="0.25">
      <c r="A154" s="2"/>
      <c r="D154" s="3"/>
    </row>
    <row r="155" spans="1:4" x14ac:dyDescent="0.25">
      <c r="A155" s="2"/>
      <c r="D155" s="3"/>
    </row>
    <row r="156" spans="1:4" x14ac:dyDescent="0.25">
      <c r="A156" s="2"/>
      <c r="D156" s="3"/>
    </row>
    <row r="157" spans="1:4" x14ac:dyDescent="0.25">
      <c r="A157" s="2"/>
      <c r="D157" s="3"/>
    </row>
    <row r="158" spans="1:4" x14ac:dyDescent="0.25">
      <c r="A158" s="2"/>
      <c r="D158" s="3"/>
    </row>
    <row r="159" spans="1:4" x14ac:dyDescent="0.25">
      <c r="A159" s="2"/>
      <c r="D159" s="3"/>
    </row>
    <row r="160" spans="1:4" x14ac:dyDescent="0.25">
      <c r="A160" s="2"/>
      <c r="D160" s="3"/>
    </row>
    <row r="161" spans="1:4" x14ac:dyDescent="0.25">
      <c r="A161" s="2"/>
      <c r="D161" s="3"/>
    </row>
    <row r="162" spans="1:4" x14ac:dyDescent="0.25">
      <c r="A162" s="2"/>
      <c r="D162" s="3"/>
    </row>
    <row r="163" spans="1:4" x14ac:dyDescent="0.25">
      <c r="A163" s="2"/>
      <c r="D163" s="3"/>
    </row>
    <row r="164" spans="1:4" x14ac:dyDescent="0.25">
      <c r="A164" s="2"/>
      <c r="D164" s="3"/>
    </row>
    <row r="165" spans="1:4" x14ac:dyDescent="0.25">
      <c r="A165" s="2"/>
      <c r="D165" s="3"/>
    </row>
    <row r="166" spans="1:4" x14ac:dyDescent="0.25">
      <c r="A166" s="2"/>
      <c r="D166" s="3"/>
    </row>
    <row r="167" spans="1:4" x14ac:dyDescent="0.25">
      <c r="A167" s="2"/>
      <c r="D167" s="3"/>
    </row>
    <row r="168" spans="1:4" x14ac:dyDescent="0.25">
      <c r="A168" s="2"/>
      <c r="D168" s="3"/>
    </row>
    <row r="169" spans="1:4" x14ac:dyDescent="0.25">
      <c r="A169" s="2"/>
      <c r="D169" s="3"/>
    </row>
    <row r="170" spans="1:4" x14ac:dyDescent="0.25">
      <c r="A170" s="2"/>
      <c r="D170" s="3"/>
    </row>
    <row r="171" spans="1:4" x14ac:dyDescent="0.25">
      <c r="A171" s="2"/>
      <c r="D171" s="3"/>
    </row>
    <row r="172" spans="1:4" x14ac:dyDescent="0.25">
      <c r="A172" s="2"/>
      <c r="D172" s="3"/>
    </row>
    <row r="173" spans="1:4" x14ac:dyDescent="0.25">
      <c r="A173" s="2"/>
      <c r="D173" s="3"/>
    </row>
    <row r="174" spans="1:4" x14ac:dyDescent="0.25">
      <c r="A174" s="2"/>
      <c r="D174" s="3"/>
    </row>
    <row r="175" spans="1:4" x14ac:dyDescent="0.25">
      <c r="A175" s="2"/>
      <c r="D175" s="3"/>
    </row>
    <row r="176" spans="1:4" x14ac:dyDescent="0.25">
      <c r="A176" s="2"/>
      <c r="D176" s="3"/>
    </row>
    <row r="177" spans="1:4" x14ac:dyDescent="0.25">
      <c r="A177" s="2"/>
      <c r="D177" s="3"/>
    </row>
    <row r="178" spans="1:4" x14ac:dyDescent="0.25">
      <c r="A178" s="2"/>
      <c r="D178" s="3"/>
    </row>
    <row r="179" spans="1:4" x14ac:dyDescent="0.25">
      <c r="A179" s="2"/>
      <c r="D179" s="3"/>
    </row>
    <row r="180" spans="1:4" x14ac:dyDescent="0.25">
      <c r="A180" s="2"/>
      <c r="D180" s="3"/>
    </row>
    <row r="181" spans="1:4" x14ac:dyDescent="0.25">
      <c r="A181" s="2"/>
      <c r="D181" s="3"/>
    </row>
    <row r="182" spans="1:4" x14ac:dyDescent="0.25">
      <c r="A182" s="2"/>
      <c r="D182" s="3"/>
    </row>
    <row r="183" spans="1:4" x14ac:dyDescent="0.25">
      <c r="A183" s="2"/>
      <c r="D183" s="3"/>
    </row>
    <row r="184" spans="1:4" x14ac:dyDescent="0.25">
      <c r="A184" s="2"/>
      <c r="D184" s="3"/>
    </row>
    <row r="185" spans="1:4" x14ac:dyDescent="0.25">
      <c r="A185" s="2"/>
      <c r="D185" s="3"/>
    </row>
    <row r="186" spans="1:4" x14ac:dyDescent="0.25">
      <c r="A186" s="2"/>
      <c r="D186" s="3"/>
    </row>
    <row r="187" spans="1:4" x14ac:dyDescent="0.25">
      <c r="A187" s="2"/>
      <c r="D187" s="3"/>
    </row>
    <row r="188" spans="1:4" x14ac:dyDescent="0.25">
      <c r="A188" s="2"/>
      <c r="D188" s="3"/>
    </row>
    <row r="189" spans="1:4" x14ac:dyDescent="0.25">
      <c r="A189" s="2"/>
      <c r="D189" s="3"/>
    </row>
    <row r="190" spans="1:4" x14ac:dyDescent="0.25">
      <c r="A190" s="2"/>
      <c r="D190" s="3"/>
    </row>
    <row r="191" spans="1:4" x14ac:dyDescent="0.25">
      <c r="A191" s="2"/>
      <c r="D191" s="3"/>
    </row>
    <row r="192" spans="1:4" x14ac:dyDescent="0.25">
      <c r="A192" s="2"/>
      <c r="D192" s="3"/>
    </row>
    <row r="193" spans="1:4" x14ac:dyDescent="0.25">
      <c r="A193" s="2"/>
      <c r="D193" s="3"/>
    </row>
    <row r="194" spans="1:4" x14ac:dyDescent="0.25">
      <c r="A194" s="2"/>
      <c r="D194" s="3"/>
    </row>
    <row r="195" spans="1:4" x14ac:dyDescent="0.25">
      <c r="A195" s="2"/>
      <c r="D195" s="3"/>
    </row>
    <row r="196" spans="1:4" x14ac:dyDescent="0.25">
      <c r="A196" s="2"/>
      <c r="D196" s="3"/>
    </row>
    <row r="197" spans="1:4" x14ac:dyDescent="0.25">
      <c r="A197" s="2"/>
      <c r="D197" s="3"/>
    </row>
    <row r="198" spans="1:4" x14ac:dyDescent="0.25">
      <c r="A198" s="2"/>
      <c r="D198" s="3"/>
    </row>
    <row r="199" spans="1:4" x14ac:dyDescent="0.25">
      <c r="A199" s="2"/>
      <c r="D199" s="3"/>
    </row>
    <row r="200" spans="1:4" x14ac:dyDescent="0.25">
      <c r="A200" s="2"/>
      <c r="D200" s="3"/>
    </row>
    <row r="201" spans="1:4" x14ac:dyDescent="0.25">
      <c r="A201" s="2"/>
      <c r="D201" s="3"/>
    </row>
    <row r="202" spans="1:4" x14ac:dyDescent="0.25">
      <c r="A202" s="2"/>
      <c r="D202" s="3"/>
    </row>
    <row r="203" spans="1:4" x14ac:dyDescent="0.25">
      <c r="A203" s="2"/>
      <c r="D203" s="3"/>
    </row>
    <row r="204" spans="1:4" x14ac:dyDescent="0.25">
      <c r="A204" s="2"/>
      <c r="D204" s="3"/>
    </row>
    <row r="205" spans="1:4" x14ac:dyDescent="0.25">
      <c r="A205" s="2"/>
      <c r="D205" s="3"/>
    </row>
    <row r="206" spans="1:4" x14ac:dyDescent="0.25">
      <c r="A206" s="2"/>
    </row>
  </sheetData>
  <autoFilter ref="A2:L206" xr:uid="{00000000-0009-0000-0000-000001000000}"/>
  <mergeCells count="1">
    <mergeCell ref="A1:L1"/>
  </mergeCells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0"/>
  <sheetViews>
    <sheetView tabSelected="1" workbookViewId="0">
      <selection activeCell="M12" sqref="M12"/>
    </sheetView>
  </sheetViews>
  <sheetFormatPr defaultRowHeight="15" x14ac:dyDescent="0.25"/>
  <cols>
    <col min="2" max="2" width="12" customWidth="1"/>
    <col min="3" max="3" width="13.7109375" customWidth="1"/>
    <col min="4" max="4" width="14.28515625" customWidth="1"/>
    <col min="7" max="7" width="10.5703125" customWidth="1"/>
    <col min="12" max="12" width="9.140625" bestFit="1" customWidth="1"/>
    <col min="13" max="13" width="13.28515625" customWidth="1"/>
    <col min="15" max="15" width="11" customWidth="1"/>
    <col min="16" max="16" width="11.85546875" customWidth="1"/>
    <col min="17" max="17" width="13" customWidth="1"/>
    <col min="18" max="18" width="10.7109375" customWidth="1"/>
  </cols>
  <sheetData>
    <row r="1" spans="1:19" x14ac:dyDescent="0.25">
      <c r="A1" s="57" t="s">
        <v>793</v>
      </c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9" x14ac:dyDescent="0.25">
      <c r="A2" s="6" t="s">
        <v>794</v>
      </c>
      <c r="B2" s="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9" x14ac:dyDescent="0.25">
      <c r="A3" s="6" t="s">
        <v>795</v>
      </c>
      <c r="B3" s="7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5" spans="1:19" ht="25.5" x14ac:dyDescent="0.35">
      <c r="A5" s="93" t="s">
        <v>796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</row>
    <row r="6" spans="1:19" x14ac:dyDescent="0.25">
      <c r="A6" s="94" t="s">
        <v>811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</row>
    <row r="7" spans="1:19" x14ac:dyDescent="0.25">
      <c r="A7" s="55"/>
      <c r="B7" s="55"/>
      <c r="C7" s="55"/>
      <c r="D7" s="55"/>
      <c r="E7" s="55"/>
      <c r="F7" s="55"/>
      <c r="G7" s="55"/>
      <c r="I7" s="58" t="s">
        <v>28</v>
      </c>
      <c r="J7" s="2" t="s">
        <v>61</v>
      </c>
      <c r="K7" s="55"/>
      <c r="L7" s="55"/>
      <c r="M7" s="55"/>
      <c r="N7" s="55"/>
      <c r="O7" s="55"/>
      <c r="P7" s="55"/>
      <c r="Q7" s="55"/>
      <c r="R7" s="55"/>
    </row>
    <row r="8" spans="1:19" x14ac:dyDescent="0.25">
      <c r="B8" s="58"/>
      <c r="C8" s="58"/>
      <c r="D8" s="58"/>
      <c r="E8" s="58"/>
      <c r="F8" s="58"/>
      <c r="G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"/>
    </row>
    <row r="9" spans="1:19" ht="14.45" customHeight="1" x14ac:dyDescent="0.25">
      <c r="A9" s="87" t="s">
        <v>797</v>
      </c>
      <c r="B9" s="89" t="s">
        <v>825</v>
      </c>
      <c r="C9" s="87" t="s">
        <v>778</v>
      </c>
      <c r="D9" s="87" t="s">
        <v>798</v>
      </c>
      <c r="E9" s="87" t="s">
        <v>799</v>
      </c>
      <c r="F9" s="87" t="s">
        <v>813</v>
      </c>
      <c r="G9" s="91" t="s">
        <v>801</v>
      </c>
      <c r="H9" s="87" t="s">
        <v>802</v>
      </c>
      <c r="I9" s="95" t="s">
        <v>804</v>
      </c>
      <c r="J9" s="96"/>
      <c r="K9" s="96"/>
      <c r="L9" s="96"/>
      <c r="M9" s="96"/>
      <c r="N9" s="97" t="s">
        <v>824</v>
      </c>
      <c r="O9" s="97"/>
      <c r="P9" s="97"/>
      <c r="Q9" s="87" t="s">
        <v>803</v>
      </c>
      <c r="R9" s="87" t="s">
        <v>800</v>
      </c>
      <c r="S9" s="5"/>
    </row>
    <row r="10" spans="1:19" ht="42.75" x14ac:dyDescent="0.25">
      <c r="A10" s="88"/>
      <c r="B10" s="90"/>
      <c r="C10" s="88"/>
      <c r="D10" s="88"/>
      <c r="E10" s="88"/>
      <c r="F10" s="88"/>
      <c r="G10" s="92"/>
      <c r="H10" s="88"/>
      <c r="I10" s="22" t="s">
        <v>805</v>
      </c>
      <c r="J10" s="22" t="s">
        <v>812</v>
      </c>
      <c r="K10" s="22" t="s">
        <v>814</v>
      </c>
      <c r="L10" s="22" t="s">
        <v>806</v>
      </c>
      <c r="M10" s="73" t="s">
        <v>807</v>
      </c>
      <c r="N10" s="74" t="s">
        <v>808</v>
      </c>
      <c r="O10" s="74" t="s">
        <v>809</v>
      </c>
      <c r="P10" s="75" t="s">
        <v>826</v>
      </c>
      <c r="Q10" s="88"/>
      <c r="R10" s="88"/>
      <c r="S10" s="5"/>
    </row>
    <row r="11" spans="1:19" x14ac:dyDescent="0.25">
      <c r="A11" s="11"/>
      <c r="B11" s="68">
        <v>1</v>
      </c>
      <c r="C11" s="11">
        <v>2</v>
      </c>
      <c r="D11" s="68">
        <v>3</v>
      </c>
      <c r="E11" s="11">
        <v>4</v>
      </c>
      <c r="F11" s="68">
        <v>5</v>
      </c>
      <c r="G11" s="11">
        <v>6</v>
      </c>
      <c r="H11" s="68">
        <v>7</v>
      </c>
      <c r="I11" s="11">
        <v>8</v>
      </c>
      <c r="J11" s="68">
        <v>9</v>
      </c>
      <c r="K11" s="11">
        <v>10</v>
      </c>
      <c r="L11" s="68">
        <v>11</v>
      </c>
      <c r="M11" s="11">
        <v>12</v>
      </c>
      <c r="N11" s="68">
        <v>13</v>
      </c>
      <c r="O11" s="11">
        <v>14</v>
      </c>
      <c r="P11" s="68">
        <v>15</v>
      </c>
      <c r="Q11" s="11">
        <v>16</v>
      </c>
      <c r="R11" s="68">
        <v>17</v>
      </c>
      <c r="S11" s="5"/>
    </row>
    <row r="12" spans="1:19" ht="30" x14ac:dyDescent="0.25">
      <c r="A12" s="13">
        <v>1</v>
      </c>
      <c r="B12" s="59">
        <v>46081</v>
      </c>
      <c r="C12" s="60" t="s">
        <v>781</v>
      </c>
      <c r="D12" s="61" t="s">
        <v>787</v>
      </c>
      <c r="E12" s="62" t="s">
        <v>29</v>
      </c>
      <c r="F12" s="60">
        <v>36</v>
      </c>
      <c r="G12" s="78">
        <v>38.162000000000006</v>
      </c>
      <c r="H12" s="79">
        <v>0.20499999999999999</v>
      </c>
      <c r="I12" s="80">
        <v>37.957000000000001</v>
      </c>
      <c r="J12" s="77">
        <f>ROUND(I12*1.001,4)</f>
        <v>37.994999999999997</v>
      </c>
      <c r="K12" s="76">
        <f>J12</f>
        <v>37.994999999999997</v>
      </c>
      <c r="L12" s="63">
        <v>6000000</v>
      </c>
      <c r="M12" s="66">
        <f>K12*L12</f>
        <v>227969999.99999997</v>
      </c>
      <c r="N12" s="65">
        <f>O12/F12</f>
        <v>154055.55555555556</v>
      </c>
      <c r="O12" s="65">
        <v>5546000</v>
      </c>
      <c r="P12" s="64">
        <f>O12</f>
        <v>5546000</v>
      </c>
      <c r="Q12" s="18">
        <f>M12+P12</f>
        <v>233515999.99999997</v>
      </c>
      <c r="R12" s="67">
        <f>J12/I12-1</f>
        <v>1.0011328608687808E-3</v>
      </c>
      <c r="S12" s="19"/>
    </row>
    <row r="13" spans="1:19" ht="30" x14ac:dyDescent="0.25">
      <c r="A13" s="13">
        <v>2</v>
      </c>
      <c r="B13" s="59">
        <v>46081</v>
      </c>
      <c r="C13" s="60" t="s">
        <v>782</v>
      </c>
      <c r="D13" s="61" t="s">
        <v>788</v>
      </c>
      <c r="E13" s="62" t="s">
        <v>29</v>
      </c>
      <c r="F13" s="60">
        <v>21</v>
      </c>
      <c r="G13" s="78">
        <v>24.221999999999998</v>
      </c>
      <c r="H13" s="79">
        <v>2.8680000000000003</v>
      </c>
      <c r="I13" s="80">
        <v>21.353999999999999</v>
      </c>
      <c r="J13" s="77">
        <f t="shared" ref="J13:J17" si="0">ROUND(I13*1.001,4)</f>
        <v>21.375399999999999</v>
      </c>
      <c r="K13" s="76">
        <f t="shared" ref="K13:K17" si="1">J13</f>
        <v>21.375399999999999</v>
      </c>
      <c r="L13" s="63">
        <v>6000000</v>
      </c>
      <c r="M13" s="66">
        <f t="shared" ref="M13:M17" si="2">K13*L13</f>
        <v>128252400</v>
      </c>
      <c r="N13" s="65">
        <f t="shared" ref="N13:N17" si="3">O13/F13</f>
        <v>134285.71428571429</v>
      </c>
      <c r="O13" s="65">
        <v>2820000</v>
      </c>
      <c r="P13" s="64">
        <f t="shared" ref="P13:P17" si="4">O13</f>
        <v>2820000</v>
      </c>
      <c r="Q13" s="18">
        <f t="shared" ref="Q13:Q17" si="5">M13+P13</f>
        <v>131072400</v>
      </c>
      <c r="R13" s="67">
        <f t="shared" ref="R13:R17" si="6">J13/I13-1</f>
        <v>1.0021541631544117E-3</v>
      </c>
      <c r="S13" s="19"/>
    </row>
    <row r="14" spans="1:19" ht="30" x14ac:dyDescent="0.25">
      <c r="A14" s="13">
        <v>3</v>
      </c>
      <c r="B14" s="59">
        <v>46081</v>
      </c>
      <c r="C14" s="60" t="s">
        <v>785</v>
      </c>
      <c r="D14" s="61" t="s">
        <v>791</v>
      </c>
      <c r="E14" s="62" t="s">
        <v>29</v>
      </c>
      <c r="F14" s="60">
        <v>8</v>
      </c>
      <c r="G14" s="78">
        <v>19.888000000000002</v>
      </c>
      <c r="H14" s="79">
        <v>1.827</v>
      </c>
      <c r="I14" s="80">
        <v>18.061</v>
      </c>
      <c r="J14" s="77">
        <f t="shared" si="0"/>
        <v>18.0791</v>
      </c>
      <c r="K14" s="76">
        <f t="shared" si="1"/>
        <v>18.0791</v>
      </c>
      <c r="L14" s="63">
        <v>6000000</v>
      </c>
      <c r="M14" s="66">
        <f t="shared" si="2"/>
        <v>108474600</v>
      </c>
      <c r="N14" s="65">
        <f t="shared" si="3"/>
        <v>163750</v>
      </c>
      <c r="O14" s="65">
        <v>1310000</v>
      </c>
      <c r="P14" s="64">
        <f t="shared" si="4"/>
        <v>1310000</v>
      </c>
      <c r="Q14" s="18">
        <f t="shared" si="5"/>
        <v>109784600</v>
      </c>
      <c r="R14" s="67">
        <f t="shared" si="6"/>
        <v>1.0021593488733771E-3</v>
      </c>
      <c r="S14" s="19"/>
    </row>
    <row r="15" spans="1:19" ht="30" x14ac:dyDescent="0.25">
      <c r="A15" s="13">
        <v>4</v>
      </c>
      <c r="B15" s="59">
        <v>46082</v>
      </c>
      <c r="C15" s="60" t="s">
        <v>780</v>
      </c>
      <c r="D15" s="61" t="s">
        <v>786</v>
      </c>
      <c r="E15" s="62" t="s">
        <v>29</v>
      </c>
      <c r="F15" s="60">
        <v>54</v>
      </c>
      <c r="G15" s="78">
        <v>24.489999999999995</v>
      </c>
      <c r="H15" s="79">
        <v>4.577</v>
      </c>
      <c r="I15" s="80">
        <v>19.912999999999997</v>
      </c>
      <c r="J15" s="77">
        <f t="shared" si="0"/>
        <v>19.9329</v>
      </c>
      <c r="K15" s="76">
        <f t="shared" si="1"/>
        <v>19.9329</v>
      </c>
      <c r="L15" s="63">
        <v>6000000</v>
      </c>
      <c r="M15" s="66">
        <f t="shared" si="2"/>
        <v>119597400</v>
      </c>
      <c r="N15" s="65">
        <f t="shared" si="3"/>
        <v>47351.851851851854</v>
      </c>
      <c r="O15" s="65">
        <v>2557000</v>
      </c>
      <c r="P15" s="64">
        <f t="shared" si="4"/>
        <v>2557000</v>
      </c>
      <c r="Q15" s="18">
        <f t="shared" si="5"/>
        <v>122154400</v>
      </c>
      <c r="R15" s="67">
        <f t="shared" si="6"/>
        <v>9.9934716014682401E-4</v>
      </c>
      <c r="S15" s="19"/>
    </row>
    <row r="16" spans="1:19" ht="30" x14ac:dyDescent="0.25">
      <c r="A16" s="13">
        <v>5</v>
      </c>
      <c r="B16" s="59">
        <v>46082</v>
      </c>
      <c r="C16" s="60" t="s">
        <v>783</v>
      </c>
      <c r="D16" s="61" t="s">
        <v>789</v>
      </c>
      <c r="E16" s="62" t="s">
        <v>29</v>
      </c>
      <c r="F16" s="60">
        <v>40</v>
      </c>
      <c r="G16" s="78">
        <v>13.51</v>
      </c>
      <c r="H16" s="79">
        <v>2.8169999999999997</v>
      </c>
      <c r="I16" s="80">
        <v>10.693</v>
      </c>
      <c r="J16" s="77">
        <f t="shared" si="0"/>
        <v>10.7037</v>
      </c>
      <c r="K16" s="76">
        <f t="shared" si="1"/>
        <v>10.7037</v>
      </c>
      <c r="L16" s="63">
        <v>6000000</v>
      </c>
      <c r="M16" s="66">
        <f t="shared" si="2"/>
        <v>64222200</v>
      </c>
      <c r="N16" s="65">
        <f t="shared" si="3"/>
        <v>32000</v>
      </c>
      <c r="O16" s="65">
        <v>1280000</v>
      </c>
      <c r="P16" s="64">
        <f t="shared" si="4"/>
        <v>1280000</v>
      </c>
      <c r="Q16" s="18">
        <f t="shared" si="5"/>
        <v>65502200</v>
      </c>
      <c r="R16" s="67">
        <f t="shared" si="6"/>
        <v>1.0006546338725553E-3</v>
      </c>
      <c r="S16" s="19"/>
    </row>
    <row r="17" spans="1:19" ht="30" x14ac:dyDescent="0.25">
      <c r="A17" s="13">
        <v>6</v>
      </c>
      <c r="B17" s="59">
        <v>46082</v>
      </c>
      <c r="C17" s="60" t="s">
        <v>784</v>
      </c>
      <c r="D17" s="61" t="s">
        <v>790</v>
      </c>
      <c r="E17" s="62" t="s">
        <v>29</v>
      </c>
      <c r="F17" s="60">
        <v>44</v>
      </c>
      <c r="G17" s="78">
        <v>33.650000000000006</v>
      </c>
      <c r="H17" s="79">
        <v>6.2870000000000008</v>
      </c>
      <c r="I17" s="80">
        <v>27.363000000000003</v>
      </c>
      <c r="J17" s="77">
        <f t="shared" si="0"/>
        <v>27.3904</v>
      </c>
      <c r="K17" s="76">
        <f t="shared" si="1"/>
        <v>27.3904</v>
      </c>
      <c r="L17" s="63">
        <v>6000000</v>
      </c>
      <c r="M17" s="66">
        <f t="shared" si="2"/>
        <v>164342400</v>
      </c>
      <c r="N17" s="65">
        <f t="shared" si="3"/>
        <v>58545.454545454544</v>
      </c>
      <c r="O17" s="65">
        <v>2576000</v>
      </c>
      <c r="P17" s="64">
        <f t="shared" si="4"/>
        <v>2576000</v>
      </c>
      <c r="Q17" s="18">
        <f t="shared" si="5"/>
        <v>166918400</v>
      </c>
      <c r="R17" s="67">
        <f t="shared" si="6"/>
        <v>1.0013521909146839E-3</v>
      </c>
      <c r="S17" s="19"/>
    </row>
    <row r="18" spans="1:19" x14ac:dyDescent="0.25">
      <c r="A18" s="13"/>
      <c r="B18" s="20"/>
      <c r="C18" s="14"/>
      <c r="D18" s="21"/>
      <c r="E18" s="15"/>
      <c r="F18" s="14"/>
      <c r="G18" s="16"/>
      <c r="H18" s="17"/>
      <c r="I18" s="56"/>
      <c r="J18" s="56"/>
      <c r="K18" s="56"/>
      <c r="L18" s="56"/>
      <c r="M18" s="56"/>
      <c r="N18" s="56"/>
      <c r="O18" s="56"/>
      <c r="P18" s="56"/>
      <c r="Q18" s="56"/>
      <c r="R18" s="12"/>
      <c r="S18" s="19"/>
    </row>
    <row r="19" spans="1:19" x14ac:dyDescent="0.25">
      <c r="A19" s="98" t="s">
        <v>827</v>
      </c>
      <c r="B19" s="99"/>
      <c r="C19" s="99"/>
      <c r="D19" s="100"/>
      <c r="E19" s="81"/>
      <c r="F19" s="22">
        <f>SUM(F12:F17)</f>
        <v>203</v>
      </c>
      <c r="G19" s="82">
        <f>SUM(G12:G17)</f>
        <v>153.92200000000003</v>
      </c>
      <c r="H19" s="82">
        <f t="shared" ref="H19:K19" si="7">SUM(H12:H17)</f>
        <v>18.581000000000003</v>
      </c>
      <c r="I19" s="82">
        <f t="shared" si="7"/>
        <v>135.34100000000001</v>
      </c>
      <c r="J19" s="82">
        <f t="shared" si="7"/>
        <v>135.47649999999999</v>
      </c>
      <c r="K19" s="82">
        <f t="shared" si="7"/>
        <v>135.47649999999999</v>
      </c>
      <c r="L19" s="83"/>
      <c r="M19" s="84">
        <v>5750000</v>
      </c>
      <c r="N19" s="84"/>
      <c r="O19" s="84">
        <v>5750000</v>
      </c>
      <c r="P19" s="84">
        <v>5750000</v>
      </c>
      <c r="Q19" s="84">
        <v>5750000</v>
      </c>
      <c r="R19" s="12"/>
      <c r="S19" s="5"/>
    </row>
    <row r="20" spans="1:19" x14ac:dyDescent="0.25">
      <c r="A20" s="5"/>
      <c r="B20" s="5"/>
      <c r="C20" s="5"/>
      <c r="D20" s="5"/>
      <c r="E20" s="24"/>
      <c r="F20" s="24"/>
      <c r="G20" s="25"/>
      <c r="H20" s="5"/>
      <c r="I20" s="26"/>
      <c r="J20" s="26"/>
      <c r="K20" s="26"/>
      <c r="L20" s="5"/>
      <c r="M20" s="27"/>
      <c r="N20" s="19"/>
      <c r="O20" s="5"/>
      <c r="P20" s="5"/>
      <c r="Q20" s="5"/>
      <c r="R20" s="5"/>
      <c r="S20" s="5"/>
    </row>
    <row r="21" spans="1:19" x14ac:dyDescent="0.25">
      <c r="A21" s="5"/>
      <c r="B21" s="5"/>
      <c r="C21" s="5"/>
      <c r="D21" s="5"/>
      <c r="E21" s="24"/>
      <c r="F21" s="24"/>
      <c r="G21" s="25"/>
      <c r="H21" s="5"/>
      <c r="I21" s="26"/>
      <c r="J21" s="26"/>
      <c r="K21" s="26"/>
      <c r="L21" s="5"/>
      <c r="M21" s="27"/>
      <c r="N21" s="19"/>
      <c r="P21" s="5"/>
      <c r="Q21" s="70" t="s">
        <v>822</v>
      </c>
      <c r="R21" s="5"/>
      <c r="S21" s="5"/>
    </row>
    <row r="22" spans="1:19" x14ac:dyDescent="0.25">
      <c r="A22" s="86" t="s">
        <v>820</v>
      </c>
      <c r="B22" s="86"/>
      <c r="C22" s="86"/>
      <c r="D22" s="69"/>
      <c r="E22" s="24"/>
      <c r="F22" s="19"/>
      <c r="G22" s="29"/>
      <c r="H22" s="30"/>
      <c r="J22" s="33" t="s">
        <v>819</v>
      </c>
      <c r="K22" s="33"/>
      <c r="L22" s="19"/>
      <c r="M22" s="41"/>
      <c r="N22" s="19"/>
      <c r="O22" s="5"/>
      <c r="Q22" s="32" t="s">
        <v>821</v>
      </c>
      <c r="R22" s="5"/>
      <c r="S22" s="5"/>
    </row>
    <row r="23" spans="1:19" ht="15.75" x14ac:dyDescent="0.25">
      <c r="A23" s="42"/>
      <c r="B23" s="43"/>
      <c r="C23" s="44"/>
      <c r="D23" s="71" t="s">
        <v>815</v>
      </c>
      <c r="E23" s="44"/>
      <c r="F23" s="44"/>
      <c r="G23" s="45"/>
      <c r="H23" s="46"/>
      <c r="I23" s="47"/>
      <c r="J23" s="47"/>
      <c r="K23" s="48"/>
      <c r="L23" s="49"/>
      <c r="M23" s="50"/>
      <c r="N23" s="44"/>
      <c r="O23" s="51"/>
      <c r="P23" s="52"/>
      <c r="Q23" s="44"/>
      <c r="R23" s="44"/>
      <c r="S23" s="44"/>
    </row>
    <row r="24" spans="1:19" x14ac:dyDescent="0.25">
      <c r="A24" s="5"/>
      <c r="B24" s="5"/>
      <c r="C24" s="5"/>
      <c r="D24" s="71" t="s">
        <v>816</v>
      </c>
      <c r="E24" s="5"/>
      <c r="F24" s="5"/>
      <c r="G24" s="5"/>
      <c r="H24" s="30"/>
      <c r="I24" s="33"/>
      <c r="J24" s="33"/>
      <c r="K24" s="53"/>
      <c r="L24" s="34"/>
      <c r="M24" s="30"/>
      <c r="N24" s="19"/>
      <c r="O24" s="36"/>
      <c r="P24" s="35"/>
      <c r="Q24" s="5"/>
      <c r="R24" s="5"/>
      <c r="S24" s="5"/>
    </row>
    <row r="25" spans="1:19" x14ac:dyDescent="0.25">
      <c r="A25" s="5"/>
      <c r="B25" s="5"/>
      <c r="C25" s="5"/>
      <c r="D25" s="72" t="s">
        <v>817</v>
      </c>
      <c r="E25" s="5"/>
      <c r="F25" s="5"/>
      <c r="G25" s="5"/>
      <c r="H25" s="5"/>
      <c r="I25" s="27"/>
      <c r="J25" s="27"/>
      <c r="K25" s="27"/>
      <c r="L25" s="28"/>
      <c r="M25" s="31"/>
      <c r="N25" s="27"/>
      <c r="O25" s="5"/>
      <c r="P25" s="32"/>
      <c r="Q25" s="54"/>
      <c r="R25" s="5"/>
      <c r="S25" s="5"/>
    </row>
    <row r="26" spans="1:19" x14ac:dyDescent="0.25">
      <c r="A26" s="5"/>
      <c r="B26" s="5"/>
      <c r="C26" s="5"/>
      <c r="D26" s="72" t="s">
        <v>818</v>
      </c>
      <c r="E26" s="5"/>
      <c r="F26" s="5"/>
      <c r="G26" s="5"/>
      <c r="H26" s="37"/>
      <c r="I26" s="5"/>
      <c r="J26" s="5"/>
      <c r="K26" s="5"/>
      <c r="L26" s="5"/>
      <c r="M26" s="31"/>
      <c r="N26" s="5"/>
      <c r="O26" s="5"/>
      <c r="P26" s="32"/>
      <c r="Q26" s="5"/>
      <c r="R26" s="5"/>
      <c r="S26" s="5"/>
    </row>
    <row r="27" spans="1:19" x14ac:dyDescent="0.25">
      <c r="A27" s="69"/>
      <c r="B27" s="69"/>
      <c r="C27" s="69"/>
      <c r="D27" s="69"/>
      <c r="F27" s="27"/>
      <c r="G27" s="5"/>
      <c r="H27" s="30"/>
      <c r="I27" s="34"/>
      <c r="J27" s="34"/>
      <c r="K27" s="34"/>
      <c r="L27" s="5"/>
      <c r="M27" s="38"/>
      <c r="N27" s="5"/>
      <c r="O27" s="5"/>
      <c r="Q27" s="32" t="s">
        <v>810</v>
      </c>
      <c r="R27" s="5"/>
      <c r="S27" s="5"/>
    </row>
    <row r="28" spans="1:19" x14ac:dyDescent="0.25">
      <c r="A28" s="5"/>
      <c r="B28" s="5"/>
      <c r="C28" s="5"/>
      <c r="D28" s="5" t="s">
        <v>823</v>
      </c>
      <c r="F28" s="5"/>
      <c r="G28" s="5"/>
      <c r="H28" s="5"/>
      <c r="I28" s="39"/>
      <c r="J28" s="39"/>
      <c r="K28" s="39"/>
      <c r="L28" s="5"/>
      <c r="M28" s="30"/>
      <c r="N28" s="5"/>
      <c r="O28" s="5"/>
      <c r="P28" s="5"/>
      <c r="Q28" s="5"/>
      <c r="R28" s="5"/>
      <c r="S28" s="5"/>
    </row>
    <row r="29" spans="1:19" x14ac:dyDescent="0.25">
      <c r="A29" s="54"/>
      <c r="B29" s="23"/>
      <c r="F29" s="8"/>
      <c r="G29" s="9"/>
      <c r="H29" s="8"/>
      <c r="I29" s="8"/>
      <c r="J29" s="8"/>
      <c r="K29" s="8"/>
      <c r="L29" s="8"/>
      <c r="M29" s="30"/>
      <c r="N29" s="8"/>
      <c r="O29" s="10"/>
      <c r="P29" s="10"/>
      <c r="Q29" s="8"/>
      <c r="R29" s="8"/>
      <c r="S29" s="8"/>
    </row>
    <row r="30" spans="1:19" x14ac:dyDescent="0.25">
      <c r="A30" s="54"/>
      <c r="B30" s="23"/>
      <c r="D30" s="8"/>
      <c r="F30" s="8"/>
      <c r="G30" s="9"/>
      <c r="H30" s="8"/>
      <c r="I30" s="8"/>
      <c r="J30" s="8"/>
      <c r="K30" s="8"/>
      <c r="L30" s="8"/>
      <c r="M30" s="40"/>
      <c r="N30" s="40"/>
      <c r="O30" s="10"/>
      <c r="P30" s="10"/>
      <c r="Q30" s="8"/>
      <c r="R30" s="8"/>
      <c r="S30" s="8"/>
    </row>
  </sheetData>
  <mergeCells count="16">
    <mergeCell ref="A5:R5"/>
    <mergeCell ref="A6:R6"/>
    <mergeCell ref="I9:M9"/>
    <mergeCell ref="N9:P9"/>
    <mergeCell ref="A19:D19"/>
    <mergeCell ref="A22:C22"/>
    <mergeCell ref="Q9:Q10"/>
    <mergeCell ref="R9:R10"/>
    <mergeCell ref="A9:A10"/>
    <mergeCell ref="B9:B10"/>
    <mergeCell ref="C9:C10"/>
    <mergeCell ref="D9:D10"/>
    <mergeCell ref="E9:E10"/>
    <mergeCell ref="F9:F10"/>
    <mergeCell ref="G9:G10"/>
    <mergeCell ref="H9:H10"/>
  </mergeCells>
  <pageMargins left="0.3" right="0.2" top="0.28999999999999998" bottom="0.75" header="0.3" footer="0.3"/>
  <pageSetup paperSize="9" scale="7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DanhSachDuyetNhapHang</vt:lpstr>
      <vt:lpstr>DL tong hop</vt:lpstr>
      <vt:lpstr>Z San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84979820802</cp:lastModifiedBy>
  <cp:lastPrinted>2026-03-02T17:03:41Z</cp:lastPrinted>
  <dcterms:created xsi:type="dcterms:W3CDTF">2026-03-02T16:23:50Z</dcterms:created>
  <dcterms:modified xsi:type="dcterms:W3CDTF">2026-10-22T11:12:49Z</dcterms:modified>
</cp:coreProperties>
</file>